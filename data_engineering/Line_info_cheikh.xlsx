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upply Chain Amont\"/>
    </mc:Choice>
  </mc:AlternateContent>
  <xr:revisionPtr revIDLastSave="0" documentId="8_{EA499ED2-926F-4E88-9B6B-734D566636D4}" xr6:coauthVersionLast="47" xr6:coauthVersionMax="47" xr10:uidLastSave="{00000000-0000-0000-0000-000000000000}"/>
  <bookViews>
    <workbookView xWindow="-28920" yWindow="-120" windowWidth="29040" windowHeight="15720" xr2:uid="{13515423-33DA-41BE-9718-08A1BB136F6F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96" i="1" l="1"/>
  <c r="AX96" i="1"/>
  <c r="AW96" i="1"/>
  <c r="AV96" i="1"/>
  <c r="AU96" i="1"/>
  <c r="AT96" i="1"/>
  <c r="AS96" i="1"/>
  <c r="AR96" i="1"/>
  <c r="AQ96" i="1"/>
  <c r="AP96" i="1"/>
  <c r="AO96" i="1"/>
  <c r="AN96" i="1"/>
  <c r="AZ94" i="1"/>
  <c r="AK94" i="1"/>
  <c r="AA94" i="1"/>
  <c r="R94" i="1"/>
  <c r="V94" i="1" s="1"/>
  <c r="AE94" i="1" s="1"/>
  <c r="O94" i="1"/>
  <c r="S94" i="1" s="1"/>
  <c r="AB94" i="1" s="1"/>
  <c r="N94" i="1"/>
  <c r="M94" i="1"/>
  <c r="Q94" i="1" s="1"/>
  <c r="L94" i="1"/>
  <c r="P94" i="1" s="1"/>
  <c r="Y94" i="1" s="1"/>
  <c r="K94" i="1"/>
  <c r="CW93" i="1"/>
  <c r="CV93" i="1"/>
  <c r="CV92" i="1"/>
  <c r="AI92" i="1"/>
  <c r="CW92" i="1" s="1"/>
  <c r="AH92" i="1"/>
  <c r="AG92" i="1"/>
  <c r="X92" i="1"/>
  <c r="U92" i="1"/>
  <c r="AD92" i="1" s="1"/>
  <c r="R92" i="1"/>
  <c r="V92" i="1" s="1"/>
  <c r="AE92" i="1" s="1"/>
  <c r="O92" i="1"/>
  <c r="S92" i="1" s="1"/>
  <c r="AB92" i="1" s="1"/>
  <c r="N92" i="1"/>
  <c r="M92" i="1"/>
  <c r="Q92" i="1" s="1"/>
  <c r="Z92" i="1" s="1"/>
  <c r="L92" i="1"/>
  <c r="P92" i="1" s="1"/>
  <c r="K92" i="1"/>
  <c r="CW91" i="1"/>
  <c r="CV91" i="1"/>
  <c r="AI91" i="1"/>
  <c r="AH91" i="1"/>
  <c r="AG91" i="1"/>
  <c r="Y91" i="1"/>
  <c r="P91" i="1"/>
  <c r="T91" i="1" s="1"/>
  <c r="AC91" i="1" s="1"/>
  <c r="N91" i="1"/>
  <c r="R91" i="1" s="1"/>
  <c r="M91" i="1"/>
  <c r="Q91" i="1" s="1"/>
  <c r="L91" i="1"/>
  <c r="K91" i="1"/>
  <c r="O91" i="1" s="1"/>
  <c r="CV90" i="1"/>
  <c r="AI90" i="1"/>
  <c r="CW90" i="1" s="1"/>
  <c r="AH90" i="1"/>
  <c r="AG90" i="1"/>
  <c r="Z90" i="1"/>
  <c r="X90" i="1"/>
  <c r="Q90" i="1"/>
  <c r="U90" i="1" s="1"/>
  <c r="AD90" i="1" s="1"/>
  <c r="O90" i="1"/>
  <c r="S90" i="1" s="1"/>
  <c r="AB90" i="1" s="1"/>
  <c r="N90" i="1"/>
  <c r="R90" i="1" s="1"/>
  <c r="M90" i="1"/>
  <c r="L90" i="1"/>
  <c r="P90" i="1" s="1"/>
  <c r="K90" i="1"/>
  <c r="AK89" i="1"/>
  <c r="P89" i="1"/>
  <c r="T89" i="1" s="1"/>
  <c r="AC89" i="1" s="1"/>
  <c r="AI89" i="1" s="1"/>
  <c r="CW89" i="1" s="1"/>
  <c r="N89" i="1"/>
  <c r="R89" i="1" s="1"/>
  <c r="M89" i="1"/>
  <c r="Q89" i="1" s="1"/>
  <c r="L89" i="1"/>
  <c r="K89" i="1"/>
  <c r="O89" i="1" s="1"/>
  <c r="X89" i="1" s="1"/>
  <c r="CV88" i="1"/>
  <c r="AI88" i="1"/>
  <c r="CW88" i="1" s="1"/>
  <c r="AH88" i="1"/>
  <c r="AG88" i="1"/>
  <c r="AC88" i="1"/>
  <c r="V88" i="1"/>
  <c r="AE88" i="1" s="1"/>
  <c r="T88" i="1"/>
  <c r="Q88" i="1"/>
  <c r="U88" i="1" s="1"/>
  <c r="AD88" i="1" s="1"/>
  <c r="O88" i="1"/>
  <c r="S88" i="1" s="1"/>
  <c r="AB88" i="1" s="1"/>
  <c r="N88" i="1"/>
  <c r="R88" i="1" s="1"/>
  <c r="AA88" i="1" s="1"/>
  <c r="M88" i="1"/>
  <c r="L88" i="1"/>
  <c r="P88" i="1" s="1"/>
  <c r="Y88" i="1" s="1"/>
  <c r="K88" i="1"/>
  <c r="CV87" i="1"/>
  <c r="AI87" i="1"/>
  <c r="CW87" i="1" s="1"/>
  <c r="AH87" i="1"/>
  <c r="AG87" i="1"/>
  <c r="AD87" i="1"/>
  <c r="X87" i="1"/>
  <c r="U87" i="1"/>
  <c r="R87" i="1"/>
  <c r="V87" i="1" s="1"/>
  <c r="AE87" i="1" s="1"/>
  <c r="P87" i="1"/>
  <c r="T87" i="1" s="1"/>
  <c r="AC87" i="1" s="1"/>
  <c r="O87" i="1"/>
  <c r="S87" i="1" s="1"/>
  <c r="AB87" i="1" s="1"/>
  <c r="N87" i="1"/>
  <c r="M87" i="1"/>
  <c r="Q87" i="1" s="1"/>
  <c r="Z87" i="1" s="1"/>
  <c r="L87" i="1"/>
  <c r="K87" i="1"/>
  <c r="CW86" i="1"/>
  <c r="CV86" i="1"/>
  <c r="AI86" i="1"/>
  <c r="AH86" i="1"/>
  <c r="AG86" i="1"/>
  <c r="Q86" i="1"/>
  <c r="U86" i="1" s="1"/>
  <c r="AD86" i="1" s="1"/>
  <c r="P86" i="1"/>
  <c r="N86" i="1"/>
  <c r="R86" i="1" s="1"/>
  <c r="AA86" i="1" s="1"/>
  <c r="M86" i="1"/>
  <c r="L86" i="1"/>
  <c r="K86" i="1"/>
  <c r="O86" i="1" s="1"/>
  <c r="BE85" i="1"/>
  <c r="AK85" i="1"/>
  <c r="R85" i="1"/>
  <c r="V85" i="1" s="1"/>
  <c r="AE85" i="1" s="1"/>
  <c r="O85" i="1"/>
  <c r="S85" i="1" s="1"/>
  <c r="AB85" i="1" s="1"/>
  <c r="N85" i="1"/>
  <c r="M85" i="1"/>
  <c r="Q85" i="1" s="1"/>
  <c r="L85" i="1"/>
  <c r="P85" i="1" s="1"/>
  <c r="Y85" i="1" s="1"/>
  <c r="K85" i="1"/>
  <c r="CW84" i="1"/>
  <c r="CV84" i="1"/>
  <c r="AI84" i="1"/>
  <c r="AH84" i="1"/>
  <c r="AG84" i="1"/>
  <c r="U84" i="1"/>
  <c r="AD84" i="1" s="1"/>
  <c r="P84" i="1"/>
  <c r="T84" i="1" s="1"/>
  <c r="AC84" i="1" s="1"/>
  <c r="N84" i="1"/>
  <c r="R84" i="1" s="1"/>
  <c r="M84" i="1"/>
  <c r="Q84" i="1" s="1"/>
  <c r="Z84" i="1" s="1"/>
  <c r="L84" i="1"/>
  <c r="K84" i="1"/>
  <c r="O84" i="1" s="1"/>
  <c r="X84" i="1" s="1"/>
  <c r="CV83" i="1"/>
  <c r="AI83" i="1"/>
  <c r="CW83" i="1" s="1"/>
  <c r="AH83" i="1"/>
  <c r="AG83" i="1"/>
  <c r="V83" i="1"/>
  <c r="AE83" i="1" s="1"/>
  <c r="Q83" i="1"/>
  <c r="U83" i="1" s="1"/>
  <c r="AD83" i="1" s="1"/>
  <c r="O83" i="1"/>
  <c r="S83" i="1" s="1"/>
  <c r="AB83" i="1" s="1"/>
  <c r="N83" i="1"/>
  <c r="R83" i="1" s="1"/>
  <c r="AA83" i="1" s="1"/>
  <c r="M83" i="1"/>
  <c r="L83" i="1"/>
  <c r="P83" i="1" s="1"/>
  <c r="Y83" i="1" s="1"/>
  <c r="K83" i="1"/>
  <c r="CV82" i="1"/>
  <c r="AI82" i="1"/>
  <c r="CW82" i="1" s="1"/>
  <c r="AH82" i="1"/>
  <c r="AG82" i="1"/>
  <c r="R82" i="1"/>
  <c r="V82" i="1" s="1"/>
  <c r="AE82" i="1" s="1"/>
  <c r="P82" i="1"/>
  <c r="T82" i="1" s="1"/>
  <c r="AC82" i="1" s="1"/>
  <c r="O82" i="1"/>
  <c r="S82" i="1" s="1"/>
  <c r="AB82" i="1" s="1"/>
  <c r="N82" i="1"/>
  <c r="M82" i="1"/>
  <c r="Q82" i="1" s="1"/>
  <c r="L82" i="1"/>
  <c r="K82" i="1"/>
  <c r="BF81" i="1"/>
  <c r="AK81" i="1"/>
  <c r="S81" i="1"/>
  <c r="AB81" i="1" s="1"/>
  <c r="Q81" i="1"/>
  <c r="P81" i="1"/>
  <c r="Y81" i="1" s="1"/>
  <c r="N81" i="1"/>
  <c r="R81" i="1" s="1"/>
  <c r="M81" i="1"/>
  <c r="L81" i="1"/>
  <c r="K81" i="1"/>
  <c r="O81" i="1" s="1"/>
  <c r="X81" i="1" s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AI80" i="1"/>
  <c r="CW80" i="1" s="1"/>
  <c r="AH80" i="1"/>
  <c r="AG80" i="1"/>
  <c r="V80" i="1"/>
  <c r="AE80" i="1" s="1"/>
  <c r="P80" i="1"/>
  <c r="T80" i="1" s="1"/>
  <c r="AC80" i="1" s="1"/>
  <c r="N80" i="1"/>
  <c r="R80" i="1" s="1"/>
  <c r="AA80" i="1" s="1"/>
  <c r="M80" i="1"/>
  <c r="Q80" i="1" s="1"/>
  <c r="L80" i="1"/>
  <c r="K80" i="1"/>
  <c r="O80" i="1" s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AI79" i="1"/>
  <c r="CW79" i="1" s="1"/>
  <c r="AH79" i="1"/>
  <c r="AG79" i="1"/>
  <c r="U79" i="1"/>
  <c r="AD79" i="1" s="1"/>
  <c r="S79" i="1"/>
  <c r="AB79" i="1" s="1"/>
  <c r="R79" i="1"/>
  <c r="AA79" i="1" s="1"/>
  <c r="P79" i="1"/>
  <c r="T79" i="1" s="1"/>
  <c r="AC79" i="1" s="1"/>
  <c r="N79" i="1"/>
  <c r="M79" i="1"/>
  <c r="Q79" i="1" s="1"/>
  <c r="Z79" i="1" s="1"/>
  <c r="L79" i="1"/>
  <c r="K79" i="1"/>
  <c r="O79" i="1" s="1"/>
  <c r="X79" i="1" s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AI78" i="1"/>
  <c r="CW78" i="1" s="1"/>
  <c r="AH78" i="1"/>
  <c r="AG78" i="1"/>
  <c r="AA78" i="1"/>
  <c r="R78" i="1"/>
  <c r="V78" i="1" s="1"/>
  <c r="AE78" i="1" s="1"/>
  <c r="P78" i="1"/>
  <c r="O78" i="1"/>
  <c r="X78" i="1" s="1"/>
  <c r="N78" i="1"/>
  <c r="M78" i="1"/>
  <c r="Q78" i="1" s="1"/>
  <c r="L78" i="1"/>
  <c r="K78" i="1"/>
  <c r="AK77" i="1"/>
  <c r="AI77" i="1"/>
  <c r="CW77" i="1" s="1"/>
  <c r="T77" i="1"/>
  <c r="AC77" i="1" s="1"/>
  <c r="N77" i="1"/>
  <c r="R77" i="1" s="1"/>
  <c r="M77" i="1"/>
  <c r="Q77" i="1" s="1"/>
  <c r="L77" i="1"/>
  <c r="P77" i="1" s="1"/>
  <c r="Y77" i="1" s="1"/>
  <c r="K77" i="1"/>
  <c r="O77" i="1" s="1"/>
  <c r="S77" i="1" s="1"/>
  <c r="AB77" i="1" s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AI76" i="1"/>
  <c r="CW76" i="1" s="1"/>
  <c r="AH76" i="1"/>
  <c r="AG76" i="1"/>
  <c r="Y76" i="1"/>
  <c r="R76" i="1"/>
  <c r="V76" i="1" s="1"/>
  <c r="AE76" i="1" s="1"/>
  <c r="Q76" i="1"/>
  <c r="U76" i="1" s="1"/>
  <c r="AD76" i="1" s="1"/>
  <c r="P76" i="1"/>
  <c r="T76" i="1" s="1"/>
  <c r="AC76" i="1" s="1"/>
  <c r="N76" i="1"/>
  <c r="M76" i="1"/>
  <c r="L76" i="1"/>
  <c r="K76" i="1"/>
  <c r="O76" i="1" s="1"/>
  <c r="X76" i="1" s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AI75" i="1"/>
  <c r="AH75" i="1"/>
  <c r="AG75" i="1"/>
  <c r="P75" i="1"/>
  <c r="T75" i="1" s="1"/>
  <c r="AC75" i="1" s="1"/>
  <c r="O75" i="1"/>
  <c r="S75" i="1" s="1"/>
  <c r="AB75" i="1" s="1"/>
  <c r="N75" i="1"/>
  <c r="R75" i="1" s="1"/>
  <c r="M75" i="1"/>
  <c r="Q75" i="1" s="1"/>
  <c r="Z75" i="1" s="1"/>
  <c r="L75" i="1"/>
  <c r="K75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AI74" i="1"/>
  <c r="AI116" i="1" s="1"/>
  <c r="AH74" i="1"/>
  <c r="AH116" i="1" s="1"/>
  <c r="AG74" i="1"/>
  <c r="U74" i="1"/>
  <c r="AD74" i="1" s="1"/>
  <c r="R74" i="1"/>
  <c r="N74" i="1"/>
  <c r="M74" i="1"/>
  <c r="Q74" i="1" s="1"/>
  <c r="Z74" i="1" s="1"/>
  <c r="L74" i="1"/>
  <c r="P74" i="1" s="1"/>
  <c r="K74" i="1"/>
  <c r="O74" i="1" s="1"/>
  <c r="AK73" i="1"/>
  <c r="AI73" i="1"/>
  <c r="V73" i="1"/>
  <c r="AE73" i="1" s="1"/>
  <c r="Q73" i="1"/>
  <c r="U73" i="1" s="1"/>
  <c r="AD73" i="1" s="1"/>
  <c r="P73" i="1"/>
  <c r="T73" i="1" s="1"/>
  <c r="AC73" i="1" s="1"/>
  <c r="O73" i="1"/>
  <c r="S73" i="1" s="1"/>
  <c r="AB73" i="1" s="1"/>
  <c r="N73" i="1"/>
  <c r="R73" i="1" s="1"/>
  <c r="AA73" i="1" s="1"/>
  <c r="M73" i="1"/>
  <c r="L73" i="1"/>
  <c r="K73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AI72" i="1"/>
  <c r="AH72" i="1"/>
  <c r="AG72" i="1"/>
  <c r="N72" i="1"/>
  <c r="R72" i="1" s="1"/>
  <c r="M72" i="1"/>
  <c r="Q72" i="1" s="1"/>
  <c r="L72" i="1"/>
  <c r="P72" i="1" s="1"/>
  <c r="K72" i="1"/>
  <c r="O72" i="1" s="1"/>
  <c r="X72" i="1" s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AI71" i="1"/>
  <c r="CW71" i="1" s="1"/>
  <c r="AH71" i="1"/>
  <c r="AG71" i="1"/>
  <c r="Y71" i="1"/>
  <c r="R71" i="1"/>
  <c r="V71" i="1" s="1"/>
  <c r="AE71" i="1" s="1"/>
  <c r="Q71" i="1"/>
  <c r="U71" i="1" s="1"/>
  <c r="AD71" i="1" s="1"/>
  <c r="P71" i="1"/>
  <c r="T71" i="1" s="1"/>
  <c r="AC71" i="1" s="1"/>
  <c r="N71" i="1"/>
  <c r="M71" i="1"/>
  <c r="L71" i="1"/>
  <c r="K71" i="1"/>
  <c r="O71" i="1" s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AI70" i="1"/>
  <c r="AH70" i="1"/>
  <c r="AG70" i="1"/>
  <c r="Y70" i="1"/>
  <c r="P70" i="1"/>
  <c r="T70" i="1" s="1"/>
  <c r="AC70" i="1" s="1"/>
  <c r="O70" i="1"/>
  <c r="S70" i="1" s="1"/>
  <c r="AB70" i="1" s="1"/>
  <c r="N70" i="1"/>
  <c r="M70" i="1"/>
  <c r="L70" i="1"/>
  <c r="K70" i="1"/>
  <c r="D70" i="1"/>
  <c r="R70" i="1" s="1"/>
  <c r="AK69" i="1"/>
  <c r="AA69" i="1"/>
  <c r="R69" i="1"/>
  <c r="V69" i="1" s="1"/>
  <c r="AE69" i="1" s="1"/>
  <c r="O69" i="1"/>
  <c r="X69" i="1" s="1"/>
  <c r="N69" i="1"/>
  <c r="M69" i="1"/>
  <c r="Q69" i="1" s="1"/>
  <c r="L69" i="1"/>
  <c r="P69" i="1" s="1"/>
  <c r="K69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AH68" i="1"/>
  <c r="AG68" i="1"/>
  <c r="CW67" i="1"/>
  <c r="AK67" i="1"/>
  <c r="AI67" i="1"/>
  <c r="AI110" i="1" s="1"/>
  <c r="Z67" i="1"/>
  <c r="Q67" i="1"/>
  <c r="U67" i="1" s="1"/>
  <c r="AD67" i="1" s="1"/>
  <c r="P67" i="1"/>
  <c r="T67" i="1" s="1"/>
  <c r="AC67" i="1" s="1"/>
  <c r="O67" i="1"/>
  <c r="S67" i="1" s="1"/>
  <c r="AB67" i="1" s="1"/>
  <c r="N67" i="1"/>
  <c r="R67" i="1" s="1"/>
  <c r="M67" i="1"/>
  <c r="L67" i="1"/>
  <c r="K67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AH66" i="1"/>
  <c r="AG66" i="1"/>
  <c r="AK65" i="1"/>
  <c r="AA65" i="1"/>
  <c r="R65" i="1"/>
  <c r="V65" i="1" s="1"/>
  <c r="AE65" i="1" s="1"/>
  <c r="O65" i="1"/>
  <c r="X65" i="1" s="1"/>
  <c r="N65" i="1"/>
  <c r="M65" i="1"/>
  <c r="Q65" i="1" s="1"/>
  <c r="L65" i="1"/>
  <c r="P65" i="1" s="1"/>
  <c r="K65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AI64" i="1"/>
  <c r="AH64" i="1"/>
  <c r="AG64" i="1"/>
  <c r="R64" i="1"/>
  <c r="V64" i="1" s="1"/>
  <c r="AE64" i="1" s="1"/>
  <c r="Q64" i="1"/>
  <c r="U64" i="1" s="1"/>
  <c r="AD64" i="1" s="1"/>
  <c r="O64" i="1"/>
  <c r="N64" i="1"/>
  <c r="M64" i="1"/>
  <c r="L64" i="1"/>
  <c r="P64" i="1" s="1"/>
  <c r="K64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AI63" i="1"/>
  <c r="AH63" i="1"/>
  <c r="AG63" i="1"/>
  <c r="X63" i="1"/>
  <c r="T63" i="1"/>
  <c r="AC63" i="1" s="1"/>
  <c r="Q63" i="1"/>
  <c r="Z63" i="1" s="1"/>
  <c r="O63" i="1"/>
  <c r="S63" i="1" s="1"/>
  <c r="AB63" i="1" s="1"/>
  <c r="N63" i="1"/>
  <c r="R63" i="1" s="1"/>
  <c r="M63" i="1"/>
  <c r="L63" i="1"/>
  <c r="P63" i="1" s="1"/>
  <c r="Y63" i="1" s="1"/>
  <c r="K63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AI62" i="1"/>
  <c r="CW62" i="1" s="1"/>
  <c r="AH62" i="1"/>
  <c r="AG62" i="1"/>
  <c r="AC62" i="1"/>
  <c r="Z62" i="1"/>
  <c r="T62" i="1"/>
  <c r="Q62" i="1"/>
  <c r="U62" i="1" s="1"/>
  <c r="AD62" i="1" s="1"/>
  <c r="N62" i="1"/>
  <c r="R62" i="1" s="1"/>
  <c r="M62" i="1"/>
  <c r="L62" i="1"/>
  <c r="P62" i="1" s="1"/>
  <c r="Y62" i="1" s="1"/>
  <c r="K62" i="1"/>
  <c r="O62" i="1" s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AI61" i="1"/>
  <c r="CW61" i="1" s="1"/>
  <c r="AH61" i="1"/>
  <c r="AG61" i="1"/>
  <c r="AE61" i="1"/>
  <c r="Z61" i="1"/>
  <c r="V61" i="1"/>
  <c r="Q61" i="1"/>
  <c r="U61" i="1" s="1"/>
  <c r="AD61" i="1" s="1"/>
  <c r="P61" i="1"/>
  <c r="T61" i="1" s="1"/>
  <c r="AC61" i="1" s="1"/>
  <c r="N61" i="1"/>
  <c r="R61" i="1" s="1"/>
  <c r="AA61" i="1" s="1"/>
  <c r="M61" i="1"/>
  <c r="L61" i="1"/>
  <c r="K61" i="1"/>
  <c r="O61" i="1" s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AI60" i="1"/>
  <c r="CW60" i="1" s="1"/>
  <c r="AH60" i="1"/>
  <c r="AG60" i="1"/>
  <c r="V60" i="1"/>
  <c r="AE60" i="1" s="1"/>
  <c r="S60" i="1"/>
  <c r="AB60" i="1" s="1"/>
  <c r="P60" i="1"/>
  <c r="Y60" i="1" s="1"/>
  <c r="N60" i="1"/>
  <c r="R60" i="1" s="1"/>
  <c r="AA60" i="1" s="1"/>
  <c r="M60" i="1"/>
  <c r="Q60" i="1" s="1"/>
  <c r="L60" i="1"/>
  <c r="K60" i="1"/>
  <c r="O60" i="1" s="1"/>
  <c r="X60" i="1" s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AI59" i="1"/>
  <c r="AH59" i="1"/>
  <c r="AG59" i="1"/>
  <c r="S59" i="1"/>
  <c r="AB59" i="1" s="1"/>
  <c r="R59" i="1"/>
  <c r="P59" i="1"/>
  <c r="T59" i="1" s="1"/>
  <c r="AC59" i="1" s="1"/>
  <c r="N59" i="1"/>
  <c r="M59" i="1"/>
  <c r="Q59" i="1" s="1"/>
  <c r="L59" i="1"/>
  <c r="K59" i="1"/>
  <c r="O59" i="1" s="1"/>
  <c r="X59" i="1" s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AI58" i="1"/>
  <c r="AH58" i="1"/>
  <c r="AG58" i="1"/>
  <c r="AA58" i="1"/>
  <c r="Y58" i="1"/>
  <c r="U58" i="1"/>
  <c r="AD58" i="1" s="1"/>
  <c r="R58" i="1"/>
  <c r="V58" i="1" s="1"/>
  <c r="AE58" i="1" s="1"/>
  <c r="P58" i="1"/>
  <c r="T58" i="1" s="1"/>
  <c r="AC58" i="1" s="1"/>
  <c r="O58" i="1"/>
  <c r="S58" i="1" s="1"/>
  <c r="AB58" i="1" s="1"/>
  <c r="N58" i="1"/>
  <c r="M58" i="1"/>
  <c r="Q58" i="1" s="1"/>
  <c r="Z58" i="1" s="1"/>
  <c r="L58" i="1"/>
  <c r="K58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AI57" i="1"/>
  <c r="AH57" i="1"/>
  <c r="AG57" i="1"/>
  <c r="AA57" i="1"/>
  <c r="U57" i="1"/>
  <c r="AD57" i="1" s="1"/>
  <c r="T57" i="1"/>
  <c r="AC57" i="1" s="1"/>
  <c r="R57" i="1"/>
  <c r="V57" i="1" s="1"/>
  <c r="AE57" i="1" s="1"/>
  <c r="O57" i="1"/>
  <c r="N57" i="1"/>
  <c r="M57" i="1"/>
  <c r="Q57" i="1" s="1"/>
  <c r="Z57" i="1" s="1"/>
  <c r="L57" i="1"/>
  <c r="P57" i="1" s="1"/>
  <c r="Y57" i="1" s="1"/>
  <c r="K57" i="1"/>
  <c r="AK56" i="1"/>
  <c r="Z56" i="1"/>
  <c r="T56" i="1"/>
  <c r="AC56" i="1" s="1"/>
  <c r="AI56" i="1" s="1"/>
  <c r="CW56" i="1" s="1"/>
  <c r="Q56" i="1"/>
  <c r="U56" i="1" s="1"/>
  <c r="AD56" i="1" s="1"/>
  <c r="O56" i="1"/>
  <c r="X56" i="1" s="1"/>
  <c r="N56" i="1"/>
  <c r="R56" i="1" s="1"/>
  <c r="M56" i="1"/>
  <c r="L56" i="1"/>
  <c r="P56" i="1" s="1"/>
  <c r="Y56" i="1" s="1"/>
  <c r="K56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AI55" i="1"/>
  <c r="CW55" i="1" s="1"/>
  <c r="AH55" i="1"/>
  <c r="AG55" i="1"/>
  <c r="AE55" i="1"/>
  <c r="Z55" i="1"/>
  <c r="V55" i="1"/>
  <c r="Q55" i="1"/>
  <c r="U55" i="1" s="1"/>
  <c r="AD55" i="1" s="1"/>
  <c r="N55" i="1"/>
  <c r="R55" i="1" s="1"/>
  <c r="AA55" i="1" s="1"/>
  <c r="M55" i="1"/>
  <c r="L55" i="1"/>
  <c r="P55" i="1" s="1"/>
  <c r="K55" i="1"/>
  <c r="O55" i="1" s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AI54" i="1"/>
  <c r="AH54" i="1"/>
  <c r="AG54" i="1"/>
  <c r="AE54" i="1"/>
  <c r="V54" i="1"/>
  <c r="Q54" i="1"/>
  <c r="Z54" i="1" s="1"/>
  <c r="P54" i="1"/>
  <c r="Y54" i="1" s="1"/>
  <c r="N54" i="1"/>
  <c r="R54" i="1" s="1"/>
  <c r="AA54" i="1" s="1"/>
  <c r="M54" i="1"/>
  <c r="L54" i="1"/>
  <c r="K54" i="1"/>
  <c r="O54" i="1" s="1"/>
  <c r="X54" i="1" s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AI53" i="1"/>
  <c r="AH53" i="1"/>
  <c r="AG53" i="1"/>
  <c r="S53" i="1"/>
  <c r="AB53" i="1" s="1"/>
  <c r="P53" i="1"/>
  <c r="T53" i="1" s="1"/>
  <c r="AC53" i="1" s="1"/>
  <c r="N53" i="1"/>
  <c r="R53" i="1" s="1"/>
  <c r="M53" i="1"/>
  <c r="Q53" i="1" s="1"/>
  <c r="L53" i="1"/>
  <c r="K53" i="1"/>
  <c r="O53" i="1" s="1"/>
  <c r="X53" i="1" s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AI52" i="1"/>
  <c r="CW52" i="1" s="1"/>
  <c r="AH52" i="1"/>
  <c r="AG52" i="1"/>
  <c r="U52" i="1"/>
  <c r="AD52" i="1" s="1"/>
  <c r="R52" i="1"/>
  <c r="AA52" i="1" s="1"/>
  <c r="P52" i="1"/>
  <c r="T52" i="1" s="1"/>
  <c r="AC52" i="1" s="1"/>
  <c r="N52" i="1"/>
  <c r="M52" i="1"/>
  <c r="Q52" i="1" s="1"/>
  <c r="Z52" i="1" s="1"/>
  <c r="L52" i="1"/>
  <c r="K52" i="1"/>
  <c r="O52" i="1" s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AI51" i="1"/>
  <c r="CW51" i="1" s="1"/>
  <c r="AH51" i="1"/>
  <c r="AG51" i="1"/>
  <c r="AA51" i="1"/>
  <c r="U51" i="1"/>
  <c r="AD51" i="1" s="1"/>
  <c r="R51" i="1"/>
  <c r="V51" i="1" s="1"/>
  <c r="AE51" i="1" s="1"/>
  <c r="P51" i="1"/>
  <c r="Y51" i="1" s="1"/>
  <c r="O51" i="1"/>
  <c r="X51" i="1" s="1"/>
  <c r="N51" i="1"/>
  <c r="M51" i="1"/>
  <c r="Q51" i="1" s="1"/>
  <c r="Z51" i="1" s="1"/>
  <c r="L51" i="1"/>
  <c r="K51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AI50" i="1"/>
  <c r="AH50" i="1"/>
  <c r="AG50" i="1"/>
  <c r="AA50" i="1"/>
  <c r="X50" i="1"/>
  <c r="R50" i="1"/>
  <c r="V50" i="1" s="1"/>
  <c r="AE50" i="1" s="1"/>
  <c r="O50" i="1"/>
  <c r="S50" i="1" s="1"/>
  <c r="AB50" i="1" s="1"/>
  <c r="N50" i="1"/>
  <c r="M50" i="1"/>
  <c r="Q50" i="1" s="1"/>
  <c r="L50" i="1"/>
  <c r="P50" i="1" s="1"/>
  <c r="K50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AI49" i="1"/>
  <c r="AH49" i="1"/>
  <c r="AG49" i="1"/>
  <c r="R49" i="1"/>
  <c r="AA49" i="1" s="1"/>
  <c r="Q49" i="1"/>
  <c r="Z49" i="1" s="1"/>
  <c r="O49" i="1"/>
  <c r="S49" i="1" s="1"/>
  <c r="AB49" i="1" s="1"/>
  <c r="N49" i="1"/>
  <c r="M49" i="1"/>
  <c r="L49" i="1"/>
  <c r="P49" i="1" s="1"/>
  <c r="K49" i="1"/>
  <c r="AK48" i="1"/>
  <c r="P48" i="1"/>
  <c r="T48" i="1" s="1"/>
  <c r="AC48" i="1" s="1"/>
  <c r="AI48" i="1" s="1"/>
  <c r="CW48" i="1" s="1"/>
  <c r="N48" i="1"/>
  <c r="R48" i="1" s="1"/>
  <c r="M48" i="1"/>
  <c r="Q48" i="1" s="1"/>
  <c r="L48" i="1"/>
  <c r="K48" i="1"/>
  <c r="O48" i="1" s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AI47" i="1"/>
  <c r="CW47" i="1" s="1"/>
  <c r="AH47" i="1"/>
  <c r="AG47" i="1"/>
  <c r="R47" i="1"/>
  <c r="AA47" i="1" s="1"/>
  <c r="P47" i="1"/>
  <c r="T47" i="1" s="1"/>
  <c r="AC47" i="1" s="1"/>
  <c r="N47" i="1"/>
  <c r="M47" i="1"/>
  <c r="Q47" i="1" s="1"/>
  <c r="Z47" i="1" s="1"/>
  <c r="L47" i="1"/>
  <c r="K47" i="1"/>
  <c r="O47" i="1" s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AI46" i="1"/>
  <c r="CW46" i="1" s="1"/>
  <c r="AH46" i="1"/>
  <c r="AG46" i="1"/>
  <c r="R46" i="1"/>
  <c r="V46" i="1" s="1"/>
  <c r="AE46" i="1" s="1"/>
  <c r="P46" i="1"/>
  <c r="Y46" i="1" s="1"/>
  <c r="O46" i="1"/>
  <c r="X46" i="1" s="1"/>
  <c r="N46" i="1"/>
  <c r="M46" i="1"/>
  <c r="Q46" i="1" s="1"/>
  <c r="Z46" i="1" s="1"/>
  <c r="L46" i="1"/>
  <c r="K46" i="1"/>
  <c r="AK45" i="1"/>
  <c r="Z45" i="1"/>
  <c r="V45" i="1"/>
  <c r="AE45" i="1" s="1"/>
  <c r="Q45" i="1"/>
  <c r="U45" i="1" s="1"/>
  <c r="AD45" i="1" s="1"/>
  <c r="P45" i="1"/>
  <c r="T45" i="1" s="1"/>
  <c r="AC45" i="1" s="1"/>
  <c r="AI45" i="1" s="1"/>
  <c r="O45" i="1"/>
  <c r="S45" i="1" s="1"/>
  <c r="AB45" i="1" s="1"/>
  <c r="N45" i="1"/>
  <c r="R45" i="1" s="1"/>
  <c r="AA45" i="1" s="1"/>
  <c r="M45" i="1"/>
  <c r="L45" i="1"/>
  <c r="K45" i="1"/>
  <c r="G45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AI44" i="1"/>
  <c r="AH44" i="1"/>
  <c r="AG44" i="1"/>
  <c r="X44" i="1"/>
  <c r="O44" i="1"/>
  <c r="S44" i="1" s="1"/>
  <c r="AB44" i="1" s="1"/>
  <c r="N44" i="1"/>
  <c r="R44" i="1" s="1"/>
  <c r="M44" i="1"/>
  <c r="Q44" i="1" s="1"/>
  <c r="L44" i="1"/>
  <c r="P44" i="1" s="1"/>
  <c r="Y44" i="1" s="1"/>
  <c r="K44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AI43" i="1"/>
  <c r="CW43" i="1" s="1"/>
  <c r="AH43" i="1"/>
  <c r="AG43" i="1"/>
  <c r="AC43" i="1"/>
  <c r="Z43" i="1"/>
  <c r="T43" i="1"/>
  <c r="R43" i="1"/>
  <c r="V43" i="1" s="1"/>
  <c r="AE43" i="1" s="1"/>
  <c r="Q43" i="1"/>
  <c r="U43" i="1" s="1"/>
  <c r="AD43" i="1" s="1"/>
  <c r="N43" i="1"/>
  <c r="M43" i="1"/>
  <c r="L43" i="1"/>
  <c r="P43" i="1" s="1"/>
  <c r="Y43" i="1" s="1"/>
  <c r="K43" i="1"/>
  <c r="O43" i="1" s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AI42" i="1"/>
  <c r="CW42" i="1" s="1"/>
  <c r="AH42" i="1"/>
  <c r="AG42" i="1"/>
  <c r="Z42" i="1"/>
  <c r="Q42" i="1"/>
  <c r="U42" i="1" s="1"/>
  <c r="AD42" i="1" s="1"/>
  <c r="P42" i="1"/>
  <c r="T42" i="1" s="1"/>
  <c r="AC42" i="1" s="1"/>
  <c r="O42" i="1"/>
  <c r="S42" i="1" s="1"/>
  <c r="AB42" i="1" s="1"/>
  <c r="N42" i="1"/>
  <c r="R42" i="1" s="1"/>
  <c r="AA42" i="1" s="1"/>
  <c r="M42" i="1"/>
  <c r="L42" i="1"/>
  <c r="K42" i="1"/>
  <c r="BX41" i="1"/>
  <c r="CJ41" i="1" s="1"/>
  <c r="BE41" i="1"/>
  <c r="BQ41" i="1" s="1"/>
  <c r="AK41" i="1"/>
  <c r="AA41" i="1"/>
  <c r="R41" i="1"/>
  <c r="V41" i="1" s="1"/>
  <c r="AE41" i="1" s="1"/>
  <c r="P41" i="1"/>
  <c r="Y41" i="1" s="1"/>
  <c r="AZ41" i="1" s="1"/>
  <c r="O41" i="1"/>
  <c r="X41" i="1" s="1"/>
  <c r="N41" i="1"/>
  <c r="M41" i="1"/>
  <c r="Q41" i="1" s="1"/>
  <c r="Z41" i="1" s="1"/>
  <c r="L41" i="1"/>
  <c r="K41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AH40" i="1"/>
  <c r="AG40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AI39" i="1"/>
  <c r="AH39" i="1"/>
  <c r="AG39" i="1"/>
  <c r="R39" i="1"/>
  <c r="V39" i="1" s="1"/>
  <c r="AE39" i="1" s="1"/>
  <c r="O39" i="1"/>
  <c r="N39" i="1"/>
  <c r="M39" i="1"/>
  <c r="Q39" i="1" s="1"/>
  <c r="L39" i="1"/>
  <c r="P39" i="1" s="1"/>
  <c r="K39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AI38" i="1"/>
  <c r="AH38" i="1"/>
  <c r="AG38" i="1"/>
  <c r="AA38" i="1"/>
  <c r="Y38" i="1"/>
  <c r="R38" i="1"/>
  <c r="V38" i="1" s="1"/>
  <c r="AE38" i="1" s="1"/>
  <c r="Q38" i="1"/>
  <c r="Z38" i="1" s="1"/>
  <c r="P38" i="1"/>
  <c r="T38" i="1" s="1"/>
  <c r="AC38" i="1" s="1"/>
  <c r="O38" i="1"/>
  <c r="S38" i="1" s="1"/>
  <c r="AB38" i="1" s="1"/>
  <c r="N38" i="1"/>
  <c r="M38" i="1"/>
  <c r="L38" i="1"/>
  <c r="K38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AI37" i="1"/>
  <c r="CW37" i="1" s="1"/>
  <c r="AH37" i="1"/>
  <c r="AG37" i="1"/>
  <c r="X37" i="1"/>
  <c r="O37" i="1"/>
  <c r="S37" i="1" s="1"/>
  <c r="AB37" i="1" s="1"/>
  <c r="N37" i="1"/>
  <c r="R37" i="1" s="1"/>
  <c r="M37" i="1"/>
  <c r="Q37" i="1" s="1"/>
  <c r="L37" i="1"/>
  <c r="P37" i="1" s="1"/>
  <c r="Y37" i="1" s="1"/>
  <c r="K37" i="1"/>
  <c r="AK36" i="1"/>
  <c r="X36" i="1"/>
  <c r="O36" i="1"/>
  <c r="S36" i="1" s="1"/>
  <c r="AB36" i="1" s="1"/>
  <c r="N36" i="1"/>
  <c r="M36" i="1"/>
  <c r="L36" i="1"/>
  <c r="K36" i="1"/>
  <c r="D36" i="1"/>
  <c r="R36" i="1" s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AH35" i="1"/>
  <c r="AG35" i="1"/>
  <c r="AK34" i="1"/>
  <c r="T34" i="1"/>
  <c r="AC34" i="1" s="1"/>
  <c r="AI34" i="1" s="1"/>
  <c r="CW34" i="1" s="1"/>
  <c r="O34" i="1"/>
  <c r="S34" i="1" s="1"/>
  <c r="AB34" i="1" s="1"/>
  <c r="N34" i="1"/>
  <c r="R34" i="1" s="1"/>
  <c r="M34" i="1"/>
  <c r="Q34" i="1" s="1"/>
  <c r="L34" i="1"/>
  <c r="P34" i="1" s="1"/>
  <c r="Y34" i="1" s="1"/>
  <c r="K34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AI33" i="1"/>
  <c r="CW33" i="1" s="1"/>
  <c r="AH33" i="1"/>
  <c r="AG33" i="1"/>
  <c r="Z33" i="1"/>
  <c r="R33" i="1"/>
  <c r="V33" i="1" s="1"/>
  <c r="AE33" i="1" s="1"/>
  <c r="Q33" i="1"/>
  <c r="U33" i="1" s="1"/>
  <c r="AD33" i="1" s="1"/>
  <c r="N33" i="1"/>
  <c r="M33" i="1"/>
  <c r="L33" i="1"/>
  <c r="P33" i="1" s="1"/>
  <c r="K33" i="1"/>
  <c r="O33" i="1" s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AI32" i="1"/>
  <c r="CW32" i="1" s="1"/>
  <c r="AH32" i="1"/>
  <c r="AG32" i="1"/>
  <c r="V32" i="1"/>
  <c r="AE32" i="1" s="1"/>
  <c r="Q32" i="1"/>
  <c r="U32" i="1" s="1"/>
  <c r="AD32" i="1" s="1"/>
  <c r="P32" i="1"/>
  <c r="T32" i="1" s="1"/>
  <c r="AC32" i="1" s="1"/>
  <c r="O32" i="1"/>
  <c r="S32" i="1" s="1"/>
  <c r="AB32" i="1" s="1"/>
  <c r="N32" i="1"/>
  <c r="R32" i="1" s="1"/>
  <c r="AA32" i="1" s="1"/>
  <c r="M32" i="1"/>
  <c r="L32" i="1"/>
  <c r="K32" i="1"/>
  <c r="AK31" i="1"/>
  <c r="R31" i="1"/>
  <c r="N31" i="1"/>
  <c r="M31" i="1"/>
  <c r="L31" i="1"/>
  <c r="K31" i="1"/>
  <c r="D31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AI30" i="1"/>
  <c r="CW30" i="1" s="1"/>
  <c r="AH30" i="1"/>
  <c r="AG30" i="1"/>
  <c r="Q30" i="1"/>
  <c r="U30" i="1" s="1"/>
  <c r="AD30" i="1" s="1"/>
  <c r="P30" i="1"/>
  <c r="N30" i="1"/>
  <c r="R30" i="1" s="1"/>
  <c r="M30" i="1"/>
  <c r="L30" i="1"/>
  <c r="K30" i="1"/>
  <c r="O30" i="1" s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AI29" i="1"/>
  <c r="AH29" i="1"/>
  <c r="AG29" i="1"/>
  <c r="P29" i="1"/>
  <c r="T29" i="1" s="1"/>
  <c r="AC29" i="1" s="1"/>
  <c r="N29" i="1"/>
  <c r="R29" i="1" s="1"/>
  <c r="M29" i="1"/>
  <c r="Q29" i="1" s="1"/>
  <c r="Z29" i="1" s="1"/>
  <c r="L29" i="1"/>
  <c r="K29" i="1"/>
  <c r="O29" i="1" s="1"/>
  <c r="AK28" i="1"/>
  <c r="Z28" i="1"/>
  <c r="R28" i="1"/>
  <c r="V28" i="1" s="1"/>
  <c r="AE28" i="1" s="1"/>
  <c r="Q28" i="1"/>
  <c r="U28" i="1" s="1"/>
  <c r="AD28" i="1" s="1"/>
  <c r="O28" i="1"/>
  <c r="X28" i="1" s="1"/>
  <c r="N28" i="1"/>
  <c r="M28" i="1"/>
  <c r="L28" i="1"/>
  <c r="P28" i="1" s="1"/>
  <c r="K28" i="1"/>
  <c r="AK27" i="1"/>
  <c r="P27" i="1"/>
  <c r="N27" i="1"/>
  <c r="R27" i="1" s="1"/>
  <c r="M27" i="1"/>
  <c r="Q27" i="1" s="1"/>
  <c r="Z27" i="1" s="1"/>
  <c r="L27" i="1"/>
  <c r="K27" i="1"/>
  <c r="O27" i="1" s="1"/>
  <c r="AK26" i="1"/>
  <c r="Z26" i="1"/>
  <c r="Q26" i="1"/>
  <c r="U26" i="1" s="1"/>
  <c r="AD26" i="1" s="1"/>
  <c r="O26" i="1"/>
  <c r="X26" i="1" s="1"/>
  <c r="N26" i="1"/>
  <c r="R26" i="1" s="1"/>
  <c r="M26" i="1"/>
  <c r="L26" i="1"/>
  <c r="P26" i="1" s="1"/>
  <c r="Y26" i="1" s="1"/>
  <c r="K26" i="1"/>
  <c r="AK25" i="1"/>
  <c r="Y25" i="1"/>
  <c r="P25" i="1"/>
  <c r="T25" i="1" s="1"/>
  <c r="AC25" i="1" s="1"/>
  <c r="N25" i="1"/>
  <c r="R25" i="1" s="1"/>
  <c r="M25" i="1"/>
  <c r="Q25" i="1" s="1"/>
  <c r="L25" i="1"/>
  <c r="K25" i="1"/>
  <c r="O25" i="1" s="1"/>
  <c r="CV24" i="1"/>
  <c r="CU24" i="1"/>
  <c r="CS24" i="1"/>
  <c r="CR24" i="1"/>
  <c r="CP24" i="1"/>
  <c r="CM24" i="1"/>
  <c r="CK24" i="1"/>
  <c r="CJ24" i="1"/>
  <c r="CI24" i="1"/>
  <c r="CH24" i="1"/>
  <c r="CT24" i="1" s="1"/>
  <c r="CG24" i="1"/>
  <c r="CF24" i="1"/>
  <c r="CE24" i="1"/>
  <c r="CQ24" i="1" s="1"/>
  <c r="CD24" i="1"/>
  <c r="CC24" i="1"/>
  <c r="CO24" i="1" s="1"/>
  <c r="CB24" i="1"/>
  <c r="CN24" i="1" s="1"/>
  <c r="CA24" i="1"/>
  <c r="BZ24" i="1"/>
  <c r="CL24" i="1" s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AI24" i="1"/>
  <c r="CW24" i="1" s="1"/>
  <c r="AH24" i="1"/>
  <c r="AG24" i="1"/>
  <c r="R24" i="1"/>
  <c r="AA24" i="1" s="1"/>
  <c r="P24" i="1"/>
  <c r="T24" i="1" s="1"/>
  <c r="AC24" i="1" s="1"/>
  <c r="N24" i="1"/>
  <c r="M24" i="1"/>
  <c r="Q24" i="1" s="1"/>
  <c r="Z24" i="1" s="1"/>
  <c r="L24" i="1"/>
  <c r="K24" i="1"/>
  <c r="O24" i="1" s="1"/>
  <c r="Y23" i="1"/>
  <c r="P23" i="1"/>
  <c r="T23" i="1" s="1"/>
  <c r="AC23" i="1" s="1"/>
  <c r="AI23" i="1" s="1"/>
  <c r="CW23" i="1" s="1"/>
  <c r="O23" i="1"/>
  <c r="X23" i="1" s="1"/>
  <c r="N23" i="1"/>
  <c r="R23" i="1" s="1"/>
  <c r="M23" i="1"/>
  <c r="Q23" i="1" s="1"/>
  <c r="L23" i="1"/>
  <c r="K23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AI22" i="1"/>
  <c r="CW22" i="1" s="1"/>
  <c r="AH22" i="1"/>
  <c r="AG22" i="1"/>
  <c r="R22" i="1"/>
  <c r="AA22" i="1" s="1"/>
  <c r="N22" i="1"/>
  <c r="M22" i="1"/>
  <c r="Q22" i="1" s="1"/>
  <c r="Z22" i="1" s="1"/>
  <c r="L22" i="1"/>
  <c r="P22" i="1" s="1"/>
  <c r="K22" i="1"/>
  <c r="O22" i="1" s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AI21" i="1"/>
  <c r="CW21" i="1" s="1"/>
  <c r="AH21" i="1"/>
  <c r="AG21" i="1"/>
  <c r="AA21" i="1"/>
  <c r="R21" i="1"/>
  <c r="V21" i="1" s="1"/>
  <c r="AE21" i="1" s="1"/>
  <c r="Q21" i="1"/>
  <c r="Z21" i="1" s="1"/>
  <c r="P21" i="1"/>
  <c r="Y21" i="1" s="1"/>
  <c r="O21" i="1"/>
  <c r="X21" i="1" s="1"/>
  <c r="N21" i="1"/>
  <c r="M21" i="1"/>
  <c r="L21" i="1"/>
  <c r="K21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AI20" i="1"/>
  <c r="AH20" i="1"/>
  <c r="AG20" i="1"/>
  <c r="X20" i="1"/>
  <c r="O20" i="1"/>
  <c r="S20" i="1" s="1"/>
  <c r="AB20" i="1" s="1"/>
  <c r="N20" i="1"/>
  <c r="R20" i="1" s="1"/>
  <c r="M20" i="1"/>
  <c r="Q20" i="1" s="1"/>
  <c r="L20" i="1"/>
  <c r="P20" i="1" s="1"/>
  <c r="K20" i="1"/>
  <c r="W19" i="1"/>
  <c r="Z19" i="1" s="1"/>
  <c r="S19" i="1"/>
  <c r="P19" i="1"/>
  <c r="T19" i="1" s="1"/>
  <c r="N19" i="1"/>
  <c r="R19" i="1" s="1"/>
  <c r="V19" i="1" s="1"/>
  <c r="M19" i="1"/>
  <c r="Q19" i="1" s="1"/>
  <c r="U19" i="1" s="1"/>
  <c r="L19" i="1"/>
  <c r="K19" i="1"/>
  <c r="O19" i="1" s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AI18" i="1"/>
  <c r="CW18" i="1" s="1"/>
  <c r="AH18" i="1"/>
  <c r="AG18" i="1"/>
  <c r="P18" i="1"/>
  <c r="T18" i="1" s="1"/>
  <c r="AC18" i="1" s="1"/>
  <c r="N18" i="1"/>
  <c r="R18" i="1" s="1"/>
  <c r="M18" i="1"/>
  <c r="Q18" i="1" s="1"/>
  <c r="L18" i="1"/>
  <c r="K18" i="1"/>
  <c r="O18" i="1" s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AI17" i="1"/>
  <c r="CW17" i="1" s="1"/>
  <c r="AH17" i="1"/>
  <c r="AG17" i="1"/>
  <c r="P17" i="1"/>
  <c r="T17" i="1" s="1"/>
  <c r="AC17" i="1" s="1"/>
  <c r="O17" i="1"/>
  <c r="S17" i="1" s="1"/>
  <c r="AB17" i="1" s="1"/>
  <c r="N17" i="1"/>
  <c r="R17" i="1" s="1"/>
  <c r="M17" i="1"/>
  <c r="Q17" i="1" s="1"/>
  <c r="Z17" i="1" s="1"/>
  <c r="L17" i="1"/>
  <c r="K17" i="1"/>
  <c r="BD16" i="1"/>
  <c r="BP16" i="1" s="1"/>
  <c r="AH16" i="1"/>
  <c r="Y16" i="1"/>
  <c r="X16" i="1"/>
  <c r="BK16" i="1" s="1"/>
  <c r="W16" i="1"/>
  <c r="Q16" i="1"/>
  <c r="U16" i="1" s="1"/>
  <c r="P16" i="1"/>
  <c r="T16" i="1" s="1"/>
  <c r="O16" i="1"/>
  <c r="S16" i="1" s="1"/>
  <c r="N16" i="1"/>
  <c r="R16" i="1" s="1"/>
  <c r="V16" i="1" s="1"/>
  <c r="M16" i="1"/>
  <c r="L16" i="1"/>
  <c r="K16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AI15" i="1"/>
  <c r="CW15" i="1" s="1"/>
  <c r="AH15" i="1"/>
  <c r="AG15" i="1"/>
  <c r="N15" i="1"/>
  <c r="R15" i="1" s="1"/>
  <c r="AA15" i="1" s="1"/>
  <c r="M15" i="1"/>
  <c r="Q15" i="1" s="1"/>
  <c r="L15" i="1"/>
  <c r="P15" i="1" s="1"/>
  <c r="K15" i="1"/>
  <c r="O15" i="1" s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AI14" i="1"/>
  <c r="CW14" i="1" s="1"/>
  <c r="AH14" i="1"/>
  <c r="AG14" i="1"/>
  <c r="S14" i="1"/>
  <c r="AB14" i="1" s="1"/>
  <c r="Q14" i="1"/>
  <c r="Z14" i="1" s="1"/>
  <c r="N14" i="1"/>
  <c r="R14" i="1" s="1"/>
  <c r="M14" i="1"/>
  <c r="L14" i="1"/>
  <c r="P14" i="1" s="1"/>
  <c r="K14" i="1"/>
  <c r="O14" i="1" s="1"/>
  <c r="X14" i="1" s="1"/>
  <c r="AK13" i="1"/>
  <c r="X13" i="1"/>
  <c r="Q13" i="1"/>
  <c r="U13" i="1" s="1"/>
  <c r="AD13" i="1" s="1"/>
  <c r="P13" i="1"/>
  <c r="T13" i="1" s="1"/>
  <c r="AC13" i="1" s="1"/>
  <c r="AI13" i="1" s="1"/>
  <c r="O13" i="1"/>
  <c r="S13" i="1" s="1"/>
  <c r="AB13" i="1" s="1"/>
  <c r="N13" i="1"/>
  <c r="R13" i="1" s="1"/>
  <c r="M13" i="1"/>
  <c r="L13" i="1"/>
  <c r="K13" i="1"/>
  <c r="AK12" i="1"/>
  <c r="P12" i="1"/>
  <c r="Y12" i="1" s="1"/>
  <c r="N12" i="1"/>
  <c r="R12" i="1" s="1"/>
  <c r="M12" i="1"/>
  <c r="Q12" i="1" s="1"/>
  <c r="L12" i="1"/>
  <c r="K12" i="1"/>
  <c r="O12" i="1" s="1"/>
  <c r="X12" i="1" s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Y11" i="1"/>
  <c r="AG11" i="1" s="1"/>
  <c r="P11" i="1"/>
  <c r="T11" i="1" s="1"/>
  <c r="AC11" i="1" s="1"/>
  <c r="AI11" i="1" s="1"/>
  <c r="CW11" i="1" s="1"/>
  <c r="O11" i="1"/>
  <c r="X11" i="1" s="1"/>
  <c r="N11" i="1"/>
  <c r="R11" i="1" s="1"/>
  <c r="M11" i="1"/>
  <c r="Q11" i="1" s="1"/>
  <c r="L11" i="1"/>
  <c r="K11" i="1"/>
  <c r="AK10" i="1"/>
  <c r="Q10" i="1"/>
  <c r="Z10" i="1" s="1"/>
  <c r="O10" i="1"/>
  <c r="S10" i="1" s="1"/>
  <c r="AB10" i="1" s="1"/>
  <c r="N10" i="1"/>
  <c r="R10" i="1" s="1"/>
  <c r="M10" i="1"/>
  <c r="L10" i="1"/>
  <c r="P10" i="1" s="1"/>
  <c r="K10" i="1"/>
  <c r="BC9" i="1"/>
  <c r="AK9" i="1"/>
  <c r="AH9" i="1"/>
  <c r="Y9" i="1"/>
  <c r="R9" i="1"/>
  <c r="V9" i="1" s="1"/>
  <c r="AE9" i="1" s="1"/>
  <c r="P9" i="1"/>
  <c r="T9" i="1" s="1"/>
  <c r="AC9" i="1" s="1"/>
  <c r="AI9" i="1" s="1"/>
  <c r="CW9" i="1" s="1"/>
  <c r="N9" i="1"/>
  <c r="M9" i="1"/>
  <c r="Q9" i="1" s="1"/>
  <c r="L9" i="1"/>
  <c r="K9" i="1"/>
  <c r="O9" i="1" s="1"/>
  <c r="BG8" i="1"/>
  <c r="BS8" i="1" s="1"/>
  <c r="AK8" i="1"/>
  <c r="Q8" i="1"/>
  <c r="Z8" i="1" s="1"/>
  <c r="O8" i="1"/>
  <c r="S8" i="1" s="1"/>
  <c r="AB8" i="1" s="1"/>
  <c r="N8" i="1"/>
  <c r="R8" i="1" s="1"/>
  <c r="M8" i="1"/>
  <c r="L8" i="1"/>
  <c r="P8" i="1" s="1"/>
  <c r="Y8" i="1" s="1"/>
  <c r="K8" i="1"/>
  <c r="BC7" i="1"/>
  <c r="BO7" i="1" s="1"/>
  <c r="AK7" i="1"/>
  <c r="Y7" i="1"/>
  <c r="P7" i="1"/>
  <c r="T7" i="1" s="1"/>
  <c r="AC7" i="1" s="1"/>
  <c r="AI7" i="1" s="1"/>
  <c r="CW7" i="1" s="1"/>
  <c r="N7" i="1"/>
  <c r="R7" i="1" s="1"/>
  <c r="M7" i="1"/>
  <c r="Q7" i="1" s="1"/>
  <c r="L7" i="1"/>
  <c r="K7" i="1"/>
  <c r="O7" i="1" s="1"/>
  <c r="CE6" i="1"/>
  <c r="CQ6" i="1" s="1"/>
  <c r="BG6" i="1"/>
  <c r="BS6" i="1" s="1"/>
  <c r="AK6" i="1"/>
  <c r="Q6" i="1"/>
  <c r="Z6" i="1" s="1"/>
  <c r="O6" i="1"/>
  <c r="N6" i="1"/>
  <c r="R6" i="1" s="1"/>
  <c r="M6" i="1"/>
  <c r="L6" i="1"/>
  <c r="P6" i="1" s="1"/>
  <c r="Y6" i="1" s="1"/>
  <c r="AG6" i="1" s="1"/>
  <c r="AM6" i="1" s="1"/>
  <c r="K6" i="1"/>
  <c r="AK5" i="1"/>
  <c r="Y5" i="1"/>
  <c r="P5" i="1"/>
  <c r="T5" i="1" s="1"/>
  <c r="AC5" i="1" s="1"/>
  <c r="AI5" i="1" s="1"/>
  <c r="CW5" i="1" s="1"/>
  <c r="N5" i="1"/>
  <c r="R5" i="1" s="1"/>
  <c r="M5" i="1"/>
  <c r="Q5" i="1" s="1"/>
  <c r="L5" i="1"/>
  <c r="K5" i="1"/>
  <c r="O5" i="1" s="1"/>
  <c r="X5" i="1" s="1"/>
  <c r="BJ4" i="1"/>
  <c r="AK4" i="1"/>
  <c r="AK96" i="1" s="1"/>
  <c r="AG4" i="1"/>
  <c r="AM4" i="1" s="1"/>
  <c r="T4" i="1"/>
  <c r="AC4" i="1" s="1"/>
  <c r="AI4" i="1" s="1"/>
  <c r="R4" i="1"/>
  <c r="AA4" i="1" s="1"/>
  <c r="O4" i="1"/>
  <c r="S4" i="1" s="1"/>
  <c r="AB4" i="1" s="1"/>
  <c r="N4" i="1"/>
  <c r="M4" i="1"/>
  <c r="Q4" i="1" s="1"/>
  <c r="L4" i="1"/>
  <c r="P4" i="1" s="1"/>
  <c r="Y4" i="1" s="1"/>
  <c r="BB4" i="1" s="1"/>
  <c r="K4" i="1"/>
  <c r="BN4" i="1" l="1"/>
  <c r="BZ4" i="1"/>
  <c r="CW4" i="1"/>
  <c r="BJ5" i="1"/>
  <c r="BB5" i="1"/>
  <c r="AG5" i="1"/>
  <c r="BI5" i="1"/>
  <c r="BA5" i="1"/>
  <c r="BH5" i="1"/>
  <c r="AZ5" i="1"/>
  <c r="BG5" i="1"/>
  <c r="BE5" i="1"/>
  <c r="BD5" i="1"/>
  <c r="BJ7" i="1"/>
  <c r="BB7" i="1"/>
  <c r="AG7" i="1"/>
  <c r="AL7" i="1" s="1"/>
  <c r="BI7" i="1"/>
  <c r="BA7" i="1"/>
  <c r="BF7" i="1"/>
  <c r="BH7" i="1"/>
  <c r="AZ7" i="1"/>
  <c r="BG7" i="1"/>
  <c r="BE7" i="1"/>
  <c r="BD7" i="1"/>
  <c r="X4" i="1"/>
  <c r="AH7" i="1"/>
  <c r="X9" i="1"/>
  <c r="S9" i="1"/>
  <c r="AB9" i="1" s="1"/>
  <c r="BV4" i="1"/>
  <c r="AH5" i="1"/>
  <c r="BF6" i="1"/>
  <c r="BE6" i="1"/>
  <c r="BD6" i="1"/>
  <c r="BJ6" i="1"/>
  <c r="BK6" i="1"/>
  <c r="BC6" i="1"/>
  <c r="AH6" i="1"/>
  <c r="BI6" i="1"/>
  <c r="BA6" i="1"/>
  <c r="BH6" i="1"/>
  <c r="AZ6" i="1"/>
  <c r="AL6" i="1"/>
  <c r="AM7" i="1"/>
  <c r="BF8" i="1"/>
  <c r="BB8" i="1"/>
  <c r="BE8" i="1"/>
  <c r="BJ8" i="1"/>
  <c r="BD8" i="1"/>
  <c r="BK8" i="1"/>
  <c r="BC8" i="1"/>
  <c r="AH8" i="1"/>
  <c r="AG8" i="1"/>
  <c r="BI8" i="1"/>
  <c r="BA8" i="1"/>
  <c r="BH8" i="1"/>
  <c r="AZ8" i="1"/>
  <c r="BO9" i="1"/>
  <c r="CA9" i="1"/>
  <c r="CM9" i="1" s="1"/>
  <c r="Z4" i="1"/>
  <c r="U4" i="1"/>
  <c r="AD4" i="1" s="1"/>
  <c r="U5" i="1"/>
  <c r="AD5" i="1" s="1"/>
  <c r="Z5" i="1"/>
  <c r="AA6" i="1"/>
  <c r="V6" i="1"/>
  <c r="AE6" i="1" s="1"/>
  <c r="BB6" i="1"/>
  <c r="BK7" i="1"/>
  <c r="AA8" i="1"/>
  <c r="V8" i="1"/>
  <c r="AE8" i="1" s="1"/>
  <c r="Y10" i="1"/>
  <c r="T10" i="1"/>
  <c r="AC10" i="1" s="1"/>
  <c r="AI10" i="1" s="1"/>
  <c r="CW10" i="1" s="1"/>
  <c r="V5" i="1"/>
  <c r="AE5" i="1" s="1"/>
  <c r="AA5" i="1"/>
  <c r="BC5" i="1"/>
  <c r="S6" i="1"/>
  <c r="AB6" i="1" s="1"/>
  <c r="X6" i="1"/>
  <c r="U7" i="1"/>
  <c r="AD7" i="1" s="1"/>
  <c r="Z7" i="1"/>
  <c r="U9" i="1"/>
  <c r="AD9" i="1" s="1"/>
  <c r="Z9" i="1"/>
  <c r="CH4" i="1"/>
  <c r="BF5" i="1"/>
  <c r="V7" i="1"/>
  <c r="AE7" i="1" s="1"/>
  <c r="AA7" i="1"/>
  <c r="CA7" i="1"/>
  <c r="CM7" i="1" s="1"/>
  <c r="CE8" i="1"/>
  <c r="CQ8" i="1" s="1"/>
  <c r="AA10" i="1"/>
  <c r="V10" i="1"/>
  <c r="AE10" i="1" s="1"/>
  <c r="BF4" i="1"/>
  <c r="BE4" i="1"/>
  <c r="BD4" i="1"/>
  <c r="BK4" i="1"/>
  <c r="BC4" i="1"/>
  <c r="AH4" i="1"/>
  <c r="BI4" i="1"/>
  <c r="BA4" i="1"/>
  <c r="BH4" i="1"/>
  <c r="AZ4" i="1"/>
  <c r="X7" i="1"/>
  <c r="S7" i="1"/>
  <c r="AB7" i="1" s="1"/>
  <c r="BG4" i="1"/>
  <c r="S5" i="1"/>
  <c r="AB5" i="1" s="1"/>
  <c r="BK5" i="1"/>
  <c r="T6" i="1"/>
  <c r="AC6" i="1" s="1"/>
  <c r="AI6" i="1" s="1"/>
  <c r="CW6" i="1" s="1"/>
  <c r="T8" i="1"/>
  <c r="AC8" i="1" s="1"/>
  <c r="AI8" i="1" s="1"/>
  <c r="BJ9" i="1"/>
  <c r="BB9" i="1"/>
  <c r="AG9" i="1"/>
  <c r="AL9" i="1" s="1"/>
  <c r="BI9" i="1"/>
  <c r="BA9" i="1"/>
  <c r="BH9" i="1"/>
  <c r="AZ9" i="1"/>
  <c r="BG9" i="1"/>
  <c r="BF9" i="1"/>
  <c r="BE9" i="1"/>
  <c r="BK9" i="1"/>
  <c r="BD9" i="1"/>
  <c r="BE12" i="1"/>
  <c r="BD12" i="1"/>
  <c r="BK12" i="1"/>
  <c r="BC12" i="1"/>
  <c r="AH12" i="1"/>
  <c r="BJ12" i="1"/>
  <c r="BB12" i="1"/>
  <c r="AG12" i="1"/>
  <c r="AL12" i="1" s="1"/>
  <c r="BI12" i="1"/>
  <c r="BA12" i="1"/>
  <c r="BH12" i="1"/>
  <c r="AZ12" i="1"/>
  <c r="BG12" i="1"/>
  <c r="CI16" i="1"/>
  <c r="CU16" i="1" s="1"/>
  <c r="BW16" i="1"/>
  <c r="U20" i="1"/>
  <c r="AD20" i="1" s="1"/>
  <c r="Z20" i="1"/>
  <c r="V23" i="1"/>
  <c r="AE23" i="1" s="1"/>
  <c r="AA23" i="1"/>
  <c r="U25" i="1"/>
  <c r="AD25" i="1" s="1"/>
  <c r="Z25" i="1"/>
  <c r="T27" i="1"/>
  <c r="AC27" i="1" s="1"/>
  <c r="Y27" i="1"/>
  <c r="U6" i="1"/>
  <c r="AD6" i="1" s="1"/>
  <c r="U8" i="1"/>
  <c r="AD8" i="1" s="1"/>
  <c r="U10" i="1"/>
  <c r="AD10" i="1" s="1"/>
  <c r="U11" i="1"/>
  <c r="AD11" i="1" s="1"/>
  <c r="Z11" i="1"/>
  <c r="S12" i="1"/>
  <c r="AB12" i="1" s="1"/>
  <c r="X18" i="1"/>
  <c r="S18" i="1"/>
  <c r="AB18" i="1" s="1"/>
  <c r="V20" i="1"/>
  <c r="AE20" i="1" s="1"/>
  <c r="AA20" i="1"/>
  <c r="U24" i="1"/>
  <c r="AD24" i="1" s="1"/>
  <c r="V25" i="1"/>
  <c r="AE25" i="1" s="1"/>
  <c r="AI25" i="1" s="1"/>
  <c r="CW25" i="1" s="1"/>
  <c r="AA25" i="1"/>
  <c r="Z37" i="1"/>
  <c r="U37" i="1"/>
  <c r="AD37" i="1" s="1"/>
  <c r="CW13" i="1"/>
  <c r="V4" i="1"/>
  <c r="AE4" i="1" s="1"/>
  <c r="AA9" i="1"/>
  <c r="V11" i="1"/>
  <c r="AE11" i="1" s="1"/>
  <c r="AA11" i="1"/>
  <c r="S15" i="1"/>
  <c r="AB15" i="1" s="1"/>
  <c r="X15" i="1"/>
  <c r="AM12" i="1"/>
  <c r="BK23" i="1"/>
  <c r="BC23" i="1"/>
  <c r="AG23" i="1"/>
  <c r="BJ23" i="1"/>
  <c r="BB23" i="1"/>
  <c r="BI23" i="1"/>
  <c r="BA23" i="1"/>
  <c r="BH23" i="1"/>
  <c r="AZ23" i="1"/>
  <c r="BG23" i="1"/>
  <c r="BF23" i="1"/>
  <c r="BE23" i="1"/>
  <c r="Y14" i="1"/>
  <c r="T14" i="1"/>
  <c r="AC14" i="1" s="1"/>
  <c r="U15" i="1"/>
  <c r="AD15" i="1" s="1"/>
  <c r="Z15" i="1"/>
  <c r="AA17" i="1"/>
  <c r="V17" i="1"/>
  <c r="AE17" i="1" s="1"/>
  <c r="V18" i="1"/>
  <c r="AE18" i="1" s="1"/>
  <c r="AA18" i="1"/>
  <c r="AH23" i="1"/>
  <c r="X8" i="1"/>
  <c r="BF12" i="1"/>
  <c r="BD23" i="1"/>
  <c r="U22" i="1"/>
  <c r="AD22" i="1" s="1"/>
  <c r="S24" i="1"/>
  <c r="AB24" i="1" s="1"/>
  <c r="X24" i="1"/>
  <c r="AH11" i="1"/>
  <c r="Z12" i="1"/>
  <c r="U12" i="1"/>
  <c r="AD12" i="1" s="1"/>
  <c r="V13" i="1"/>
  <c r="AE13" i="1" s="1"/>
  <c r="AA13" i="1"/>
  <c r="AA14" i="1"/>
  <c r="V14" i="1"/>
  <c r="AE14" i="1" s="1"/>
  <c r="V15" i="1"/>
  <c r="AE15" i="1" s="1"/>
  <c r="CB16" i="1"/>
  <c r="CN16" i="1" s="1"/>
  <c r="Y18" i="1"/>
  <c r="AA19" i="1"/>
  <c r="S22" i="1"/>
  <c r="AB22" i="1" s="1"/>
  <c r="X22" i="1"/>
  <c r="X25" i="1"/>
  <c r="S25" i="1"/>
  <c r="AB25" i="1" s="1"/>
  <c r="V31" i="1"/>
  <c r="AE31" i="1" s="1"/>
  <c r="AA31" i="1"/>
  <c r="X10" i="1"/>
  <c r="T15" i="1"/>
  <c r="AC15" i="1" s="1"/>
  <c r="Y15" i="1"/>
  <c r="U18" i="1"/>
  <c r="AD18" i="1" s="1"/>
  <c r="Z18" i="1"/>
  <c r="AL4" i="1"/>
  <c r="AA12" i="1"/>
  <c r="V12" i="1"/>
  <c r="AE12" i="1" s="1"/>
  <c r="AE16" i="1"/>
  <c r="U17" i="1"/>
  <c r="AD17" i="1" s="1"/>
  <c r="T20" i="1"/>
  <c r="AC20" i="1" s="1"/>
  <c r="Y20" i="1"/>
  <c r="T22" i="1"/>
  <c r="AC22" i="1" s="1"/>
  <c r="Y22" i="1"/>
  <c r="U23" i="1"/>
  <c r="AD23" i="1" s="1"/>
  <c r="Z23" i="1"/>
  <c r="T30" i="1"/>
  <c r="AC30" i="1" s="1"/>
  <c r="Y30" i="1"/>
  <c r="V36" i="1"/>
  <c r="AE36" i="1" s="1"/>
  <c r="AA36" i="1"/>
  <c r="T12" i="1"/>
  <c r="AC12" i="1" s="1"/>
  <c r="AI12" i="1" s="1"/>
  <c r="CW12" i="1" s="1"/>
  <c r="Y13" i="1"/>
  <c r="Z16" i="1"/>
  <c r="BE16" i="1"/>
  <c r="AB19" i="1"/>
  <c r="S21" i="1"/>
  <c r="AB21" i="1" s="1"/>
  <c r="V22" i="1"/>
  <c r="AE22" i="1" s="1"/>
  <c r="V24" i="1"/>
  <c r="AE24" i="1" s="1"/>
  <c r="U27" i="1"/>
  <c r="AD27" i="1" s="1"/>
  <c r="U29" i="1"/>
  <c r="AD29" i="1" s="1"/>
  <c r="T64" i="1"/>
  <c r="AC64" i="1" s="1"/>
  <c r="Y64" i="1"/>
  <c r="Z13" i="1"/>
  <c r="U14" i="1"/>
  <c r="AD14" i="1" s="1"/>
  <c r="AA16" i="1"/>
  <c r="BF16" i="1"/>
  <c r="X17" i="1"/>
  <c r="AC19" i="1"/>
  <c r="AI19" i="1" s="1"/>
  <c r="T21" i="1"/>
  <c r="AC21" i="1" s="1"/>
  <c r="T26" i="1"/>
  <c r="AC26" i="1" s="1"/>
  <c r="X33" i="1"/>
  <c r="S33" i="1"/>
  <c r="AB33" i="1" s="1"/>
  <c r="BF34" i="1"/>
  <c r="BE34" i="1"/>
  <c r="BD34" i="1"/>
  <c r="BK34" i="1"/>
  <c r="BC34" i="1"/>
  <c r="AH34" i="1"/>
  <c r="BJ34" i="1"/>
  <c r="BB34" i="1"/>
  <c r="AG34" i="1"/>
  <c r="BI34" i="1"/>
  <c r="BA34" i="1"/>
  <c r="BH34" i="1"/>
  <c r="AZ34" i="1"/>
  <c r="BG34" i="1"/>
  <c r="AI112" i="1"/>
  <c r="CW45" i="1"/>
  <c r="U53" i="1"/>
  <c r="AD53" i="1" s="1"/>
  <c r="Z53" i="1"/>
  <c r="S11" i="1"/>
  <c r="AB11" i="1" s="1"/>
  <c r="AB16" i="1"/>
  <c r="AI16" i="1" s="1"/>
  <c r="BG16" i="1"/>
  <c r="Y17" i="1"/>
  <c r="AD19" i="1"/>
  <c r="U21" i="1"/>
  <c r="AD21" i="1" s="1"/>
  <c r="S23" i="1"/>
  <c r="AB23" i="1" s="1"/>
  <c r="Y24" i="1"/>
  <c r="Q31" i="1"/>
  <c r="P31" i="1"/>
  <c r="O31" i="1"/>
  <c r="Y33" i="1"/>
  <c r="T33" i="1"/>
  <c r="AC33" i="1" s="1"/>
  <c r="Z34" i="1"/>
  <c r="U34" i="1"/>
  <c r="AD34" i="1" s="1"/>
  <c r="AC16" i="1"/>
  <c r="AZ16" i="1"/>
  <c r="BH16" i="1"/>
  <c r="AE19" i="1"/>
  <c r="S27" i="1"/>
  <c r="AB27" i="1" s="1"/>
  <c r="X27" i="1"/>
  <c r="S29" i="1"/>
  <c r="AB29" i="1" s="1"/>
  <c r="X29" i="1"/>
  <c r="X30" i="1"/>
  <c r="S30" i="1"/>
  <c r="AB30" i="1" s="1"/>
  <c r="AA34" i="1"/>
  <c r="V34" i="1"/>
  <c r="AE34" i="1" s="1"/>
  <c r="X39" i="1"/>
  <c r="S39" i="1"/>
  <c r="AB39" i="1" s="1"/>
  <c r="BL41" i="1"/>
  <c r="AD16" i="1"/>
  <c r="BA16" i="1"/>
  <c r="BI16" i="1"/>
  <c r="X19" i="1"/>
  <c r="Y28" i="1"/>
  <c r="T28" i="1"/>
  <c r="AC28" i="1" s="1"/>
  <c r="AI28" i="1" s="1"/>
  <c r="U81" i="1"/>
  <c r="AD81" i="1" s="1"/>
  <c r="Z81" i="1"/>
  <c r="BB16" i="1"/>
  <c r="BJ16" i="1"/>
  <c r="Y19" i="1"/>
  <c r="X48" i="1"/>
  <c r="S48" i="1"/>
  <c r="AB48" i="1" s="1"/>
  <c r="AG16" i="1"/>
  <c r="BC16" i="1"/>
  <c r="V26" i="1"/>
  <c r="AE26" i="1" s="1"/>
  <c r="AI26" i="1" s="1"/>
  <c r="CW26" i="1" s="1"/>
  <c r="AA26" i="1"/>
  <c r="AA27" i="1"/>
  <c r="V27" i="1"/>
  <c r="AE27" i="1" s="1"/>
  <c r="AI27" i="1" s="1"/>
  <c r="CW27" i="1" s="1"/>
  <c r="AA29" i="1"/>
  <c r="V29" i="1"/>
  <c r="AE29" i="1" s="1"/>
  <c r="V30" i="1"/>
  <c r="AE30" i="1" s="1"/>
  <c r="AA30" i="1"/>
  <c r="Y49" i="1"/>
  <c r="T49" i="1"/>
  <c r="AC49" i="1" s="1"/>
  <c r="AA75" i="1"/>
  <c r="V75" i="1"/>
  <c r="AE75" i="1" s="1"/>
  <c r="AA28" i="1"/>
  <c r="Z30" i="1"/>
  <c r="X32" i="1"/>
  <c r="AA33" i="1"/>
  <c r="P36" i="1"/>
  <c r="CC41" i="1"/>
  <c r="CO41" i="1" s="1"/>
  <c r="X43" i="1"/>
  <c r="S43" i="1"/>
  <c r="AB43" i="1" s="1"/>
  <c r="V53" i="1"/>
  <c r="AE53" i="1" s="1"/>
  <c r="AA53" i="1"/>
  <c r="V62" i="1"/>
  <c r="AE62" i="1" s="1"/>
  <c r="AA62" i="1"/>
  <c r="AA63" i="1"/>
  <c r="V63" i="1"/>
  <c r="AE63" i="1" s="1"/>
  <c r="Z65" i="1"/>
  <c r="U65" i="1"/>
  <c r="AD65" i="1" s="1"/>
  <c r="Z69" i="1"/>
  <c r="U69" i="1"/>
  <c r="AD69" i="1" s="1"/>
  <c r="CW73" i="1"/>
  <c r="S26" i="1"/>
  <c r="AB26" i="1" s="1"/>
  <c r="S28" i="1"/>
  <c r="AB28" i="1" s="1"/>
  <c r="Y32" i="1"/>
  <c r="Q36" i="1"/>
  <c r="U48" i="1"/>
  <c r="AD48" i="1" s="1"/>
  <c r="Z48" i="1"/>
  <c r="S55" i="1"/>
  <c r="AB55" i="1" s="1"/>
  <c r="X55" i="1"/>
  <c r="V59" i="1"/>
  <c r="AE59" i="1" s="1"/>
  <c r="AA59" i="1"/>
  <c r="AA70" i="1"/>
  <c r="V70" i="1"/>
  <c r="AE70" i="1" s="1"/>
  <c r="V74" i="1"/>
  <c r="AE74" i="1" s="1"/>
  <c r="AA74" i="1"/>
  <c r="Y29" i="1"/>
  <c r="Z32" i="1"/>
  <c r="X34" i="1"/>
  <c r="V48" i="1"/>
  <c r="AE48" i="1" s="1"/>
  <c r="AA48" i="1"/>
  <c r="T50" i="1"/>
  <c r="AC50" i="1" s="1"/>
  <c r="Y50" i="1"/>
  <c r="T55" i="1"/>
  <c r="AC55" i="1" s="1"/>
  <c r="Y55" i="1"/>
  <c r="BJ56" i="1"/>
  <c r="BC56" i="1"/>
  <c r="AH56" i="1"/>
  <c r="BK56" i="1"/>
  <c r="BB56" i="1"/>
  <c r="AG56" i="1"/>
  <c r="BI56" i="1"/>
  <c r="BA56" i="1"/>
  <c r="BH56" i="1"/>
  <c r="AZ56" i="1"/>
  <c r="BF56" i="1"/>
  <c r="BE56" i="1"/>
  <c r="S64" i="1"/>
  <c r="AB64" i="1" s="1"/>
  <c r="X64" i="1"/>
  <c r="X71" i="1"/>
  <c r="S71" i="1"/>
  <c r="AB71" i="1" s="1"/>
  <c r="BX94" i="1"/>
  <c r="CJ94" i="1" s="1"/>
  <c r="BL94" i="1"/>
  <c r="V37" i="1"/>
  <c r="AE37" i="1" s="1"/>
  <c r="AA37" i="1"/>
  <c r="AA39" i="1"/>
  <c r="BD41" i="1"/>
  <c r="BK41" i="1"/>
  <c r="BC41" i="1"/>
  <c r="AH41" i="1"/>
  <c r="BJ41" i="1"/>
  <c r="BB41" i="1"/>
  <c r="AG41" i="1"/>
  <c r="AM41" i="1" s="1"/>
  <c r="BI41" i="1"/>
  <c r="BA41" i="1"/>
  <c r="BG41" i="1"/>
  <c r="BF41" i="1"/>
  <c r="BH41" i="1"/>
  <c r="Z44" i="1"/>
  <c r="U44" i="1"/>
  <c r="AD44" i="1" s="1"/>
  <c r="U46" i="1"/>
  <c r="AD46" i="1" s="1"/>
  <c r="U50" i="1"/>
  <c r="AD50" i="1" s="1"/>
  <c r="Z50" i="1"/>
  <c r="Y52" i="1"/>
  <c r="Y53" i="1"/>
  <c r="S57" i="1"/>
  <c r="AB57" i="1" s="1"/>
  <c r="X57" i="1"/>
  <c r="T39" i="1"/>
  <c r="AC39" i="1" s="1"/>
  <c r="Y39" i="1"/>
  <c r="AA44" i="1"/>
  <c r="V44" i="1"/>
  <c r="AE44" i="1" s="1"/>
  <c r="AA46" i="1"/>
  <c r="U47" i="1"/>
  <c r="AD47" i="1" s="1"/>
  <c r="S52" i="1"/>
  <c r="AB52" i="1" s="1"/>
  <c r="X52" i="1"/>
  <c r="S54" i="1"/>
  <c r="AB54" i="1" s="1"/>
  <c r="V56" i="1"/>
  <c r="AE56" i="1" s="1"/>
  <c r="AA56" i="1"/>
  <c r="AA67" i="1"/>
  <c r="V67" i="1"/>
  <c r="AE67" i="1" s="1"/>
  <c r="U39" i="1"/>
  <c r="AD39" i="1" s="1"/>
  <c r="Z39" i="1"/>
  <c r="U41" i="1"/>
  <c r="AD41" i="1" s="1"/>
  <c r="V42" i="1"/>
  <c r="AE42" i="1" s="1"/>
  <c r="Y47" i="1"/>
  <c r="Y48" i="1"/>
  <c r="BD56" i="1"/>
  <c r="AA72" i="1"/>
  <c r="V72" i="1"/>
  <c r="AE72" i="1" s="1"/>
  <c r="T37" i="1"/>
  <c r="AC37" i="1" s="1"/>
  <c r="X38" i="1"/>
  <c r="T44" i="1"/>
  <c r="AC44" i="1" s="1"/>
  <c r="S47" i="1"/>
  <c r="AB47" i="1" s="1"/>
  <c r="X47" i="1"/>
  <c r="X49" i="1"/>
  <c r="BG56" i="1"/>
  <c r="U59" i="1"/>
  <c r="AD59" i="1" s="1"/>
  <c r="Z59" i="1"/>
  <c r="Z60" i="1"/>
  <c r="U60" i="1"/>
  <c r="AD60" i="1" s="1"/>
  <c r="Y74" i="1"/>
  <c r="T74" i="1"/>
  <c r="AC74" i="1" s="1"/>
  <c r="Z82" i="1"/>
  <c r="U82" i="1"/>
  <c r="AD82" i="1" s="1"/>
  <c r="U38" i="1"/>
  <c r="AD38" i="1" s="1"/>
  <c r="S41" i="1"/>
  <c r="AB41" i="1" s="1"/>
  <c r="X42" i="1"/>
  <c r="AA43" i="1"/>
  <c r="X45" i="1"/>
  <c r="S46" i="1"/>
  <c r="AB46" i="1" s="1"/>
  <c r="V47" i="1"/>
  <c r="AE47" i="1" s="1"/>
  <c r="U49" i="1"/>
  <c r="AD49" i="1" s="1"/>
  <c r="S51" i="1"/>
  <c r="AB51" i="1" s="1"/>
  <c r="V52" i="1"/>
  <c r="AE52" i="1" s="1"/>
  <c r="T54" i="1"/>
  <c r="AC54" i="1" s="1"/>
  <c r="X58" i="1"/>
  <c r="S72" i="1"/>
  <c r="AB72" i="1" s="1"/>
  <c r="S76" i="1"/>
  <c r="AB76" i="1" s="1"/>
  <c r="X77" i="1"/>
  <c r="T86" i="1"/>
  <c r="AC86" i="1" s="1"/>
  <c r="Y86" i="1"/>
  <c r="T41" i="1"/>
  <c r="AC41" i="1" s="1"/>
  <c r="AI41" i="1" s="1"/>
  <c r="Y42" i="1"/>
  <c r="Y45" i="1"/>
  <c r="T46" i="1"/>
  <c r="AC46" i="1" s="1"/>
  <c r="V49" i="1"/>
  <c r="AE49" i="1" s="1"/>
  <c r="T51" i="1"/>
  <c r="AC51" i="1" s="1"/>
  <c r="U54" i="1"/>
  <c r="AD54" i="1" s="1"/>
  <c r="S56" i="1"/>
  <c r="AB56" i="1" s="1"/>
  <c r="Y65" i="1"/>
  <c r="T65" i="1"/>
  <c r="AC65" i="1" s="1"/>
  <c r="AI65" i="1" s="1"/>
  <c r="CW65" i="1" s="1"/>
  <c r="Y69" i="1"/>
  <c r="T69" i="1"/>
  <c r="AC69" i="1" s="1"/>
  <c r="AI69" i="1" s="1"/>
  <c r="U80" i="1"/>
  <c r="AD80" i="1" s="1"/>
  <c r="Z80" i="1"/>
  <c r="BQ85" i="1"/>
  <c r="CC85" i="1"/>
  <c r="CO85" i="1" s="1"/>
  <c r="S61" i="1"/>
  <c r="AB61" i="1" s="1"/>
  <c r="X61" i="1"/>
  <c r="Y59" i="1"/>
  <c r="X62" i="1"/>
  <c r="S62" i="1"/>
  <c r="AB62" i="1" s="1"/>
  <c r="BH77" i="1"/>
  <c r="AZ77" i="1"/>
  <c r="BF77" i="1"/>
  <c r="BE77" i="1"/>
  <c r="BD77" i="1"/>
  <c r="BK77" i="1"/>
  <c r="BC77" i="1"/>
  <c r="BJ77" i="1"/>
  <c r="BB77" i="1"/>
  <c r="BG77" i="1"/>
  <c r="BA77" i="1"/>
  <c r="AH77" i="1"/>
  <c r="AG77" i="1"/>
  <c r="AM77" i="1" s="1"/>
  <c r="BI77" i="1"/>
  <c r="T78" i="1"/>
  <c r="AC78" i="1" s="1"/>
  <c r="Y78" i="1"/>
  <c r="Z89" i="1"/>
  <c r="U89" i="1"/>
  <c r="AD89" i="1" s="1"/>
  <c r="AA91" i="1"/>
  <c r="V91" i="1"/>
  <c r="AE91" i="1" s="1"/>
  <c r="Z94" i="1"/>
  <c r="U94" i="1"/>
  <c r="AD94" i="1" s="1"/>
  <c r="Y72" i="1"/>
  <c r="T72" i="1"/>
  <c r="AC72" i="1" s="1"/>
  <c r="Z73" i="1"/>
  <c r="U75" i="1"/>
  <c r="AD75" i="1" s="1"/>
  <c r="Z77" i="1"/>
  <c r="U77" i="1"/>
  <c r="AD77" i="1" s="1"/>
  <c r="BR81" i="1"/>
  <c r="CD81" i="1"/>
  <c r="CP81" i="1" s="1"/>
  <c r="T92" i="1"/>
  <c r="AC92" i="1" s="1"/>
  <c r="Y92" i="1"/>
  <c r="AA64" i="1"/>
  <c r="Z72" i="1"/>
  <c r="U72" i="1"/>
  <c r="AD72" i="1" s="1"/>
  <c r="X74" i="1"/>
  <c r="S74" i="1"/>
  <c r="AB74" i="1" s="1"/>
  <c r="Y75" i="1"/>
  <c r="AA77" i="1"/>
  <c r="V77" i="1"/>
  <c r="AE77" i="1" s="1"/>
  <c r="T60" i="1"/>
  <c r="AC60" i="1" s="1"/>
  <c r="U63" i="1"/>
  <c r="AD63" i="1" s="1"/>
  <c r="S65" i="1"/>
  <c r="AB65" i="1" s="1"/>
  <c r="X67" i="1"/>
  <c r="S69" i="1"/>
  <c r="AB69" i="1" s="1"/>
  <c r="Z71" i="1"/>
  <c r="X73" i="1"/>
  <c r="Z76" i="1"/>
  <c r="AA81" i="1"/>
  <c r="V81" i="1"/>
  <c r="AE81" i="1" s="1"/>
  <c r="BF85" i="1"/>
  <c r="BD85" i="1"/>
  <c r="BK85" i="1"/>
  <c r="BC85" i="1"/>
  <c r="AH85" i="1"/>
  <c r="BJ85" i="1"/>
  <c r="BB85" i="1"/>
  <c r="AG85" i="1"/>
  <c r="BI85" i="1"/>
  <c r="BA85" i="1"/>
  <c r="BH85" i="1"/>
  <c r="AZ85" i="1"/>
  <c r="Y61" i="1"/>
  <c r="Z64" i="1"/>
  <c r="Y67" i="1"/>
  <c r="X70" i="1"/>
  <c r="AA71" i="1"/>
  <c r="Y73" i="1"/>
  <c r="X75" i="1"/>
  <c r="AA76" i="1"/>
  <c r="BE81" i="1"/>
  <c r="BK81" i="1"/>
  <c r="BC81" i="1"/>
  <c r="AH81" i="1"/>
  <c r="BJ81" i="1"/>
  <c r="BB81" i="1"/>
  <c r="AG81" i="1"/>
  <c r="BI81" i="1"/>
  <c r="BA81" i="1"/>
  <c r="BH81" i="1"/>
  <c r="AZ81" i="1"/>
  <c r="BG81" i="1"/>
  <c r="BD81" i="1"/>
  <c r="T83" i="1"/>
  <c r="AC83" i="1" s="1"/>
  <c r="Z85" i="1"/>
  <c r="U85" i="1"/>
  <c r="AD85" i="1" s="1"/>
  <c r="Y90" i="1"/>
  <c r="T90" i="1"/>
  <c r="AC90" i="1" s="1"/>
  <c r="BH94" i="1"/>
  <c r="BG94" i="1"/>
  <c r="BF94" i="1"/>
  <c r="BE94" i="1"/>
  <c r="BD94" i="1"/>
  <c r="AH94" i="1"/>
  <c r="BK94" i="1"/>
  <c r="BC94" i="1"/>
  <c r="AG94" i="1"/>
  <c r="BJ94" i="1"/>
  <c r="BB94" i="1"/>
  <c r="BI94" i="1"/>
  <c r="BA94" i="1"/>
  <c r="CV94" i="1" s="1"/>
  <c r="AL94" i="1"/>
  <c r="Q70" i="1"/>
  <c r="AL77" i="1"/>
  <c r="Y80" i="1"/>
  <c r="BG85" i="1"/>
  <c r="AA89" i="1"/>
  <c r="V89" i="1"/>
  <c r="AE89" i="1" s="1"/>
  <c r="V90" i="1"/>
  <c r="AE90" i="1" s="1"/>
  <c r="AA90" i="1"/>
  <c r="AG116" i="1"/>
  <c r="Z78" i="1"/>
  <c r="U78" i="1"/>
  <c r="AD78" i="1" s="1"/>
  <c r="AA84" i="1"/>
  <c r="V84" i="1"/>
  <c r="AE84" i="1" s="1"/>
  <c r="V86" i="1"/>
  <c r="AE86" i="1" s="1"/>
  <c r="X91" i="1"/>
  <c r="S91" i="1"/>
  <c r="AB91" i="1" s="1"/>
  <c r="X80" i="1"/>
  <c r="S80" i="1"/>
  <c r="AB80" i="1" s="1"/>
  <c r="X82" i="1"/>
  <c r="T85" i="1"/>
  <c r="AC85" i="1" s="1"/>
  <c r="AI85" i="1" s="1"/>
  <c r="S89" i="1"/>
  <c r="AB89" i="1" s="1"/>
  <c r="S84" i="1"/>
  <c r="AB84" i="1" s="1"/>
  <c r="AA85" i="1"/>
  <c r="X86" i="1"/>
  <c r="S86" i="1"/>
  <c r="AB86" i="1" s="1"/>
  <c r="U91" i="1"/>
  <c r="AD91" i="1" s="1"/>
  <c r="Z91" i="1"/>
  <c r="T94" i="1"/>
  <c r="AC94" i="1" s="1"/>
  <c r="AI94" i="1" s="1"/>
  <c r="CW94" i="1" s="1"/>
  <c r="S78" i="1"/>
  <c r="AB78" i="1" s="1"/>
  <c r="V79" i="1"/>
  <c r="AE79" i="1" s="1"/>
  <c r="T81" i="1"/>
  <c r="AC81" i="1" s="1"/>
  <c r="AI81" i="1" s="1"/>
  <c r="CW81" i="1" s="1"/>
  <c r="Y82" i="1"/>
  <c r="X83" i="1"/>
  <c r="Z86" i="1"/>
  <c r="Y87" i="1"/>
  <c r="X88" i="1"/>
  <c r="Y79" i="1"/>
  <c r="AA82" i="1"/>
  <c r="Z83" i="1"/>
  <c r="Y84" i="1"/>
  <c r="X85" i="1"/>
  <c r="AA87" i="1"/>
  <c r="Z88" i="1"/>
  <c r="Y89" i="1"/>
  <c r="AA92" i="1"/>
  <c r="X94" i="1"/>
  <c r="AN97" i="1"/>
  <c r="BS81" i="1" l="1"/>
  <c r="CE81" i="1"/>
  <c r="CQ81" i="1" s="1"/>
  <c r="CC77" i="1"/>
  <c r="CO77" i="1" s="1"/>
  <c r="BQ77" i="1"/>
  <c r="CE56" i="1"/>
  <c r="CQ56" i="1" s="1"/>
  <c r="BS56" i="1"/>
  <c r="BZ56" i="1"/>
  <c r="CL56" i="1" s="1"/>
  <c r="BN56" i="1"/>
  <c r="U36" i="1"/>
  <c r="AD36" i="1" s="1"/>
  <c r="Z36" i="1"/>
  <c r="BT34" i="1"/>
  <c r="CF34" i="1"/>
  <c r="CR34" i="1" s="1"/>
  <c r="CI23" i="1"/>
  <c r="CU23" i="1" s="1"/>
  <c r="BW23" i="1"/>
  <c r="CB12" i="1"/>
  <c r="CN12" i="1" s="1"/>
  <c r="BP12" i="1"/>
  <c r="BU4" i="1"/>
  <c r="CG4" i="1"/>
  <c r="BN6" i="1"/>
  <c r="BZ6" i="1"/>
  <c r="CL6" i="1" s="1"/>
  <c r="BL6" i="1"/>
  <c r="CV6" i="1"/>
  <c r="BX6" i="1"/>
  <c r="CJ6" i="1" s="1"/>
  <c r="CF7" i="1"/>
  <c r="CR7" i="1" s="1"/>
  <c r="BT7" i="1"/>
  <c r="CF94" i="1"/>
  <c r="CR94" i="1" s="1"/>
  <c r="BT94" i="1"/>
  <c r="CV81" i="1"/>
  <c r="BX81" i="1"/>
  <c r="CJ81" i="1" s="1"/>
  <c r="BL81" i="1"/>
  <c r="CA81" i="1"/>
  <c r="CM81" i="1" s="1"/>
  <c r="BO81" i="1"/>
  <c r="BH67" i="1"/>
  <c r="AZ67" i="1"/>
  <c r="BG67" i="1"/>
  <c r="BF67" i="1"/>
  <c r="BE67" i="1"/>
  <c r="BK67" i="1"/>
  <c r="BC67" i="1"/>
  <c r="AH67" i="1"/>
  <c r="AH110" i="1" s="1"/>
  <c r="BJ67" i="1"/>
  <c r="BB67" i="1"/>
  <c r="AG67" i="1"/>
  <c r="BI67" i="1"/>
  <c r="BD67" i="1"/>
  <c r="BA67" i="1"/>
  <c r="CG85" i="1"/>
  <c r="CS85" i="1" s="1"/>
  <c r="BU85" i="1"/>
  <c r="CD85" i="1"/>
  <c r="CP85" i="1" s="1"/>
  <c r="BR85" i="1"/>
  <c r="BM77" i="1"/>
  <c r="BY77" i="1"/>
  <c r="CK77" i="1" s="1"/>
  <c r="CD77" i="1"/>
  <c r="CP77" i="1" s="1"/>
  <c r="BR77" i="1"/>
  <c r="BD69" i="1"/>
  <c r="BK69" i="1"/>
  <c r="BC69" i="1"/>
  <c r="AH69" i="1"/>
  <c r="AH114" i="1" s="1"/>
  <c r="BJ69" i="1"/>
  <c r="BB69" i="1"/>
  <c r="AG69" i="1"/>
  <c r="BI69" i="1"/>
  <c r="BA69" i="1"/>
  <c r="BG69" i="1"/>
  <c r="BF69" i="1"/>
  <c r="BH69" i="1"/>
  <c r="BE69" i="1"/>
  <c r="AZ69" i="1"/>
  <c r="BR41" i="1"/>
  <c r="CD41" i="1"/>
  <c r="CP41" i="1" s="1"/>
  <c r="CA41" i="1"/>
  <c r="CM41" i="1" s="1"/>
  <c r="BO41" i="1"/>
  <c r="CC56" i="1"/>
  <c r="CO56" i="1" s="1"/>
  <c r="BQ56" i="1"/>
  <c r="BW56" i="1"/>
  <c r="CI56" i="1"/>
  <c r="CU56" i="1" s="1"/>
  <c r="AI111" i="1"/>
  <c r="CW28" i="1"/>
  <c r="BM34" i="1"/>
  <c r="BY34" i="1"/>
  <c r="CK34" i="1" s="1"/>
  <c r="CB34" i="1"/>
  <c r="CN34" i="1" s="1"/>
  <c r="BP34" i="1"/>
  <c r="BQ16" i="1"/>
  <c r="CC16" i="1"/>
  <c r="CO16" i="1" s="1"/>
  <c r="BR12" i="1"/>
  <c r="CD12" i="1"/>
  <c r="CP12" i="1" s="1"/>
  <c r="CF23" i="1"/>
  <c r="CR23" i="1" s="1"/>
  <c r="BT23" i="1"/>
  <c r="BU12" i="1"/>
  <c r="CG12" i="1"/>
  <c r="CS12" i="1" s="1"/>
  <c r="CC12" i="1"/>
  <c r="CO12" i="1" s="1"/>
  <c r="BQ12" i="1"/>
  <c r="BY9" i="1"/>
  <c r="CK9" i="1" s="1"/>
  <c r="BM9" i="1"/>
  <c r="AH98" i="1"/>
  <c r="BL8" i="1"/>
  <c r="CV8" i="1"/>
  <c r="BX8" i="1"/>
  <c r="CJ8" i="1" s="1"/>
  <c r="CB8" i="1"/>
  <c r="CN8" i="1" s="1"/>
  <c r="BP8" i="1"/>
  <c r="BT6" i="1"/>
  <c r="CF6" i="1"/>
  <c r="CR6" i="1" s="1"/>
  <c r="CC6" i="1"/>
  <c r="CO6" i="1" s="1"/>
  <c r="BQ6" i="1"/>
  <c r="BR7" i="1"/>
  <c r="CD7" i="1"/>
  <c r="CP7" i="1" s="1"/>
  <c r="CE5" i="1"/>
  <c r="CQ5" i="1" s="1"/>
  <c r="BS5" i="1"/>
  <c r="BV94" i="1"/>
  <c r="CH94" i="1"/>
  <c r="CT94" i="1" s="1"/>
  <c r="BT41" i="1"/>
  <c r="CF41" i="1"/>
  <c r="CR41" i="1" s="1"/>
  <c r="CW16" i="1"/>
  <c r="CV23" i="1"/>
  <c r="BX23" i="1"/>
  <c r="CJ23" i="1" s="1"/>
  <c r="BL23" i="1"/>
  <c r="BM12" i="1"/>
  <c r="BY12" i="1"/>
  <c r="CK12" i="1" s="1"/>
  <c r="BW5" i="1"/>
  <c r="CI5" i="1"/>
  <c r="CU5" i="1" s="1"/>
  <c r="BO5" i="1"/>
  <c r="CA5" i="1"/>
  <c r="CM5" i="1" s="1"/>
  <c r="CI8" i="1"/>
  <c r="CU8" i="1" s="1"/>
  <c r="BW8" i="1"/>
  <c r="CB6" i="1"/>
  <c r="CN6" i="1" s="1"/>
  <c r="BP6" i="1"/>
  <c r="BQ5" i="1"/>
  <c r="CC5" i="1"/>
  <c r="CO5" i="1" s="1"/>
  <c r="Z70" i="1"/>
  <c r="U70" i="1"/>
  <c r="AD70" i="1" s="1"/>
  <c r="BO94" i="1"/>
  <c r="CA94" i="1"/>
  <c r="CM94" i="1" s="1"/>
  <c r="CF81" i="1"/>
  <c r="CR81" i="1" s="1"/>
  <c r="BT81" i="1"/>
  <c r="CI81" i="1"/>
  <c r="CU81" i="1" s="1"/>
  <c r="BW81" i="1"/>
  <c r="AM85" i="1"/>
  <c r="BS77" i="1"/>
  <c r="CE77" i="1"/>
  <c r="CQ77" i="1" s="1"/>
  <c r="CV77" i="1"/>
  <c r="BX77" i="1"/>
  <c r="CJ77" i="1" s="1"/>
  <c r="BL77" i="1"/>
  <c r="CB56" i="1"/>
  <c r="CN56" i="1" s="1"/>
  <c r="BP56" i="1"/>
  <c r="BS41" i="1"/>
  <c r="CE41" i="1"/>
  <c r="CQ41" i="1" s="1"/>
  <c r="CI41" i="1"/>
  <c r="CU41" i="1" s="1"/>
  <c r="BW41" i="1"/>
  <c r="BR56" i="1"/>
  <c r="CD56" i="1"/>
  <c r="CP56" i="1" s="1"/>
  <c r="BK28" i="1"/>
  <c r="BC28" i="1"/>
  <c r="AH28" i="1"/>
  <c r="AH111" i="1" s="1"/>
  <c r="BJ28" i="1"/>
  <c r="BB28" i="1"/>
  <c r="AG28" i="1"/>
  <c r="BI28" i="1"/>
  <c r="BA28" i="1"/>
  <c r="BH28" i="1"/>
  <c r="AZ28" i="1"/>
  <c r="BG28" i="1"/>
  <c r="BF28" i="1"/>
  <c r="BE28" i="1"/>
  <c r="BD28" i="1"/>
  <c r="BU34" i="1"/>
  <c r="CG34" i="1"/>
  <c r="CS34" i="1" s="1"/>
  <c r="CC34" i="1"/>
  <c r="CO34" i="1" s="1"/>
  <c r="BQ34" i="1"/>
  <c r="BY23" i="1"/>
  <c r="CK23" i="1" s="1"/>
  <c r="BM23" i="1"/>
  <c r="BP9" i="1"/>
  <c r="CB9" i="1"/>
  <c r="CN9" i="1" s="1"/>
  <c r="CG9" i="1"/>
  <c r="CS9" i="1" s="1"/>
  <c r="BU9" i="1"/>
  <c r="BS4" i="1"/>
  <c r="CE4" i="1"/>
  <c r="CA4" i="1"/>
  <c r="BO4" i="1"/>
  <c r="BT8" i="1"/>
  <c r="CF8" i="1"/>
  <c r="CR8" i="1" s="1"/>
  <c r="BV8" i="1"/>
  <c r="CH8" i="1"/>
  <c r="CT8" i="1" s="1"/>
  <c r="BM6" i="1"/>
  <c r="BY6" i="1"/>
  <c r="CK6" i="1" s="1"/>
  <c r="CD6" i="1"/>
  <c r="CP6" i="1" s="1"/>
  <c r="BR6" i="1"/>
  <c r="BY7" i="1"/>
  <c r="CK7" i="1" s="1"/>
  <c r="BM7" i="1"/>
  <c r="CV5" i="1"/>
  <c r="BX5" i="1"/>
  <c r="CJ5" i="1" s="1"/>
  <c r="BL5" i="1"/>
  <c r="AI106" i="1"/>
  <c r="AH113" i="1"/>
  <c r="BP23" i="1"/>
  <c r="CB23" i="1"/>
  <c r="CN23" i="1" s="1"/>
  <c r="CF9" i="1"/>
  <c r="CR9" i="1" s="1"/>
  <c r="BT9" i="1"/>
  <c r="CH5" i="1"/>
  <c r="CT5" i="1" s="1"/>
  <c r="BV5" i="1"/>
  <c r="AI103" i="1"/>
  <c r="CW85" i="1"/>
  <c r="BW94" i="1"/>
  <c r="CI94" i="1"/>
  <c r="CU94" i="1" s="1"/>
  <c r="BM81" i="1"/>
  <c r="BY81" i="1"/>
  <c r="CK81" i="1" s="1"/>
  <c r="CC81" i="1"/>
  <c r="CO81" i="1" s="1"/>
  <c r="BQ81" i="1"/>
  <c r="BN85" i="1"/>
  <c r="BZ85" i="1"/>
  <c r="CL85" i="1" s="1"/>
  <c r="BN77" i="1"/>
  <c r="BZ77" i="1"/>
  <c r="CL77" i="1" s="1"/>
  <c r="CF77" i="1"/>
  <c r="CR77" i="1" s="1"/>
  <c r="BT77" i="1"/>
  <c r="BH45" i="1"/>
  <c r="AZ45" i="1"/>
  <c r="BG45" i="1"/>
  <c r="BF45" i="1"/>
  <c r="BE45" i="1"/>
  <c r="BK45" i="1"/>
  <c r="BC45" i="1"/>
  <c r="AH45" i="1"/>
  <c r="AH112" i="1" s="1"/>
  <c r="BJ45" i="1"/>
  <c r="BB45" i="1"/>
  <c r="AG45" i="1"/>
  <c r="BI45" i="1"/>
  <c r="BD45" i="1"/>
  <c r="BA45" i="1"/>
  <c r="BJ48" i="1"/>
  <c r="BB48" i="1"/>
  <c r="AG48" i="1"/>
  <c r="BI48" i="1"/>
  <c r="BA48" i="1"/>
  <c r="BH48" i="1"/>
  <c r="AZ48" i="1"/>
  <c r="BG48" i="1"/>
  <c r="BE48" i="1"/>
  <c r="BD48" i="1"/>
  <c r="BK48" i="1"/>
  <c r="BF48" i="1"/>
  <c r="BC48" i="1"/>
  <c r="AH48" i="1"/>
  <c r="BY41" i="1"/>
  <c r="CK41" i="1" s="1"/>
  <c r="BM41" i="1"/>
  <c r="CB41" i="1"/>
  <c r="CN41" i="1" s="1"/>
  <c r="BP41" i="1"/>
  <c r="CV56" i="1"/>
  <c r="BL56" i="1"/>
  <c r="BX56" i="1"/>
  <c r="CJ56" i="1" s="1"/>
  <c r="BO56" i="1"/>
  <c r="CA56" i="1"/>
  <c r="CM56" i="1" s="1"/>
  <c r="AL41" i="1"/>
  <c r="BG27" i="1"/>
  <c r="BF27" i="1"/>
  <c r="BE27" i="1"/>
  <c r="BD27" i="1"/>
  <c r="BK27" i="1"/>
  <c r="BC27" i="1"/>
  <c r="AH27" i="1"/>
  <c r="BJ27" i="1"/>
  <c r="BB27" i="1"/>
  <c r="AG27" i="1"/>
  <c r="BI27" i="1"/>
  <c r="BA27" i="1"/>
  <c r="BH27" i="1"/>
  <c r="AZ27" i="1"/>
  <c r="BE19" i="1"/>
  <c r="BD19" i="1"/>
  <c r="AH19" i="1"/>
  <c r="AH108" i="1" s="1"/>
  <c r="BK19" i="1"/>
  <c r="BC19" i="1"/>
  <c r="AG19" i="1"/>
  <c r="BJ19" i="1"/>
  <c r="BB19" i="1"/>
  <c r="BI19" i="1"/>
  <c r="BA19" i="1"/>
  <c r="BH19" i="1"/>
  <c r="AZ19" i="1"/>
  <c r="BG19" i="1"/>
  <c r="BF19" i="1"/>
  <c r="AL34" i="1"/>
  <c r="AM34" i="1"/>
  <c r="CD34" i="1"/>
  <c r="CP34" i="1" s="1"/>
  <c r="BR34" i="1"/>
  <c r="AI108" i="1"/>
  <c r="CW19" i="1"/>
  <c r="BI13" i="1"/>
  <c r="BA13" i="1"/>
  <c r="BH13" i="1"/>
  <c r="AZ13" i="1"/>
  <c r="BG13" i="1"/>
  <c r="BF13" i="1"/>
  <c r="BE13" i="1"/>
  <c r="BD13" i="1"/>
  <c r="BK13" i="1"/>
  <c r="BC13" i="1"/>
  <c r="AH13" i="1"/>
  <c r="AG13" i="1"/>
  <c r="BJ13" i="1"/>
  <c r="BB13" i="1"/>
  <c r="CG23" i="1"/>
  <c r="CS23" i="1" s="1"/>
  <c r="BU23" i="1"/>
  <c r="AI99" i="1"/>
  <c r="BZ12" i="1"/>
  <c r="CL12" i="1" s="1"/>
  <c r="BN12" i="1"/>
  <c r="BW9" i="1"/>
  <c r="CI9" i="1"/>
  <c r="CU9" i="1" s="1"/>
  <c r="CI4" i="1"/>
  <c r="BW4" i="1"/>
  <c r="BM8" i="1"/>
  <c r="BY8" i="1"/>
  <c r="CK8" i="1" s="1"/>
  <c r="CC8" i="1"/>
  <c r="CO8" i="1" s="1"/>
  <c r="BQ8" i="1"/>
  <c r="BU6" i="1"/>
  <c r="CG6" i="1"/>
  <c r="CS6" i="1" s="1"/>
  <c r="CG7" i="1"/>
  <c r="CS7" i="1" s="1"/>
  <c r="BU7" i="1"/>
  <c r="CF5" i="1"/>
  <c r="CR5" i="1" s="1"/>
  <c r="BT5" i="1"/>
  <c r="AI114" i="1"/>
  <c r="CW69" i="1"/>
  <c r="Z31" i="1"/>
  <c r="U31" i="1"/>
  <c r="AD31" i="1" s="1"/>
  <c r="BK26" i="1"/>
  <c r="BC26" i="1"/>
  <c r="AH26" i="1"/>
  <c r="BJ26" i="1"/>
  <c r="BB26" i="1"/>
  <c r="AG26" i="1"/>
  <c r="BI26" i="1"/>
  <c r="BA26" i="1"/>
  <c r="BH26" i="1"/>
  <c r="AZ26" i="1"/>
  <c r="BF26" i="1"/>
  <c r="BE26" i="1"/>
  <c r="BG26" i="1"/>
  <c r="BD26" i="1"/>
  <c r="CH16" i="1"/>
  <c r="CT16" i="1" s="1"/>
  <c r="BV16" i="1"/>
  <c r="CG16" i="1"/>
  <c r="CS16" i="1" s="1"/>
  <c r="BU16" i="1"/>
  <c r="AI100" i="1"/>
  <c r="BN34" i="1"/>
  <c r="BZ34" i="1"/>
  <c r="CL34" i="1" s="1"/>
  <c r="BZ23" i="1"/>
  <c r="CL23" i="1" s="1"/>
  <c r="BN23" i="1"/>
  <c r="CH12" i="1"/>
  <c r="CT12" i="1" s="1"/>
  <c r="BV12" i="1"/>
  <c r="BQ9" i="1"/>
  <c r="CC9" i="1"/>
  <c r="CO9" i="1" s="1"/>
  <c r="BZ9" i="1"/>
  <c r="CL9" i="1" s="1"/>
  <c r="BN9" i="1"/>
  <c r="CB4" i="1"/>
  <c r="BP4" i="1"/>
  <c r="BF10" i="1"/>
  <c r="BE10" i="1"/>
  <c r="BB10" i="1"/>
  <c r="BD10" i="1"/>
  <c r="AG10" i="1"/>
  <c r="BK10" i="1"/>
  <c r="BC10" i="1"/>
  <c r="AH10" i="1"/>
  <c r="BJ10" i="1"/>
  <c r="BI10" i="1"/>
  <c r="BA10" i="1"/>
  <c r="BH10" i="1"/>
  <c r="AZ10" i="1"/>
  <c r="BG10" i="1"/>
  <c r="BU8" i="1"/>
  <c r="CG8" i="1"/>
  <c r="CS8" i="1" s="1"/>
  <c r="BN8" i="1"/>
  <c r="BZ8" i="1"/>
  <c r="CL8" i="1" s="1"/>
  <c r="BP7" i="1"/>
  <c r="CB7" i="1"/>
  <c r="CN7" i="1" s="1"/>
  <c r="BY5" i="1"/>
  <c r="CK5" i="1" s="1"/>
  <c r="BM5" i="1"/>
  <c r="AI98" i="1"/>
  <c r="BY85" i="1"/>
  <c r="CK85" i="1" s="1"/>
  <c r="BM85" i="1"/>
  <c r="BU81" i="1"/>
  <c r="CG81" i="1"/>
  <c r="CS81" i="1" s="1"/>
  <c r="BV77" i="1"/>
  <c r="CH77" i="1"/>
  <c r="CT77" i="1" s="1"/>
  <c r="BM94" i="1"/>
  <c r="BY94" i="1"/>
  <c r="CK94" i="1" s="1"/>
  <c r="BP94" i="1"/>
  <c r="CB94" i="1"/>
  <c r="CN94" i="1" s="1"/>
  <c r="AM81" i="1"/>
  <c r="AL81" i="1"/>
  <c r="AL85" i="1"/>
  <c r="CA77" i="1"/>
  <c r="CM77" i="1" s="1"/>
  <c r="BO77" i="1"/>
  <c r="BD65" i="1"/>
  <c r="BK65" i="1"/>
  <c r="BC65" i="1"/>
  <c r="AH65" i="1"/>
  <c r="BJ65" i="1"/>
  <c r="BB65" i="1"/>
  <c r="AG65" i="1"/>
  <c r="BI65" i="1"/>
  <c r="BA65" i="1"/>
  <c r="BG65" i="1"/>
  <c r="BF65" i="1"/>
  <c r="BH65" i="1"/>
  <c r="BE65" i="1"/>
  <c r="AZ65" i="1"/>
  <c r="AI113" i="1"/>
  <c r="AI102" i="1"/>
  <c r="CW41" i="1"/>
  <c r="AG113" i="1"/>
  <c r="BY56" i="1"/>
  <c r="CK56" i="1" s="1"/>
  <c r="BM56" i="1"/>
  <c r="AI115" i="1"/>
  <c r="T36" i="1"/>
  <c r="AC36" i="1" s="1"/>
  <c r="AI36" i="1" s="1"/>
  <c r="CW36" i="1" s="1"/>
  <c r="Y36" i="1"/>
  <c r="BZ16" i="1"/>
  <c r="CL16" i="1" s="1"/>
  <c r="BN16" i="1"/>
  <c r="BY16" i="1"/>
  <c r="CK16" i="1" s="1"/>
  <c r="BM16" i="1"/>
  <c r="BV34" i="1"/>
  <c r="CH34" i="1"/>
  <c r="CT34" i="1" s="1"/>
  <c r="BR16" i="1"/>
  <c r="CD16" i="1"/>
  <c r="CP16" i="1" s="1"/>
  <c r="BQ23" i="1"/>
  <c r="CC23" i="1"/>
  <c r="CO23" i="1" s="1"/>
  <c r="CH23" i="1"/>
  <c r="CT23" i="1" s="1"/>
  <c r="BV23" i="1"/>
  <c r="BS12" i="1"/>
  <c r="CE12" i="1"/>
  <c r="CQ12" i="1" s="1"/>
  <c r="BR9" i="1"/>
  <c r="CD9" i="1"/>
  <c r="CP9" i="1" s="1"/>
  <c r="CH9" i="1"/>
  <c r="CT9" i="1" s="1"/>
  <c r="BV9" i="1"/>
  <c r="BL4" i="1"/>
  <c r="CV4" i="1"/>
  <c r="BX4" i="1"/>
  <c r="CC4" i="1"/>
  <c r="BQ4" i="1"/>
  <c r="BR5" i="1"/>
  <c r="CD5" i="1"/>
  <c r="CP5" i="1" s="1"/>
  <c r="AG107" i="1"/>
  <c r="AL8" i="1"/>
  <c r="AM8" i="1"/>
  <c r="CD8" i="1"/>
  <c r="CP8" i="1" s="1"/>
  <c r="BR8" i="1"/>
  <c r="CA6" i="1"/>
  <c r="CM6" i="1" s="1"/>
  <c r="BO6" i="1"/>
  <c r="BQ7" i="1"/>
  <c r="CC7" i="1"/>
  <c r="CO7" i="1" s="1"/>
  <c r="BZ7" i="1"/>
  <c r="CL7" i="1" s="1"/>
  <c r="BN7" i="1"/>
  <c r="CG5" i="1"/>
  <c r="CS5" i="1" s="1"/>
  <c r="BU5" i="1"/>
  <c r="CL4" i="1"/>
  <c r="CB85" i="1"/>
  <c r="CN85" i="1" s="1"/>
  <c r="BP85" i="1"/>
  <c r="BV85" i="1"/>
  <c r="CH85" i="1"/>
  <c r="CT85" i="1" s="1"/>
  <c r="CF56" i="1"/>
  <c r="CR56" i="1" s="1"/>
  <c r="BT56" i="1"/>
  <c r="BU94" i="1"/>
  <c r="CG94" i="1"/>
  <c r="CS94" i="1" s="1"/>
  <c r="CC94" i="1"/>
  <c r="CO94" i="1" s="1"/>
  <c r="BQ94" i="1"/>
  <c r="BZ81" i="1"/>
  <c r="CL81" i="1" s="1"/>
  <c r="BN81" i="1"/>
  <c r="BH73" i="1"/>
  <c r="AZ73" i="1"/>
  <c r="BG73" i="1"/>
  <c r="BF73" i="1"/>
  <c r="BE73" i="1"/>
  <c r="BK73" i="1"/>
  <c r="BC73" i="1"/>
  <c r="AH73" i="1"/>
  <c r="AH115" i="1" s="1"/>
  <c r="BJ73" i="1"/>
  <c r="BB73" i="1"/>
  <c r="AG73" i="1"/>
  <c r="BI73" i="1"/>
  <c r="BA73" i="1"/>
  <c r="BD73" i="1"/>
  <c r="BL85" i="1"/>
  <c r="CV85" i="1"/>
  <c r="BX85" i="1"/>
  <c r="CJ85" i="1" s="1"/>
  <c r="CA85" i="1"/>
  <c r="CM85" i="1" s="1"/>
  <c r="BO85" i="1"/>
  <c r="BU77" i="1"/>
  <c r="CG77" i="1"/>
  <c r="CS77" i="1" s="1"/>
  <c r="CI77" i="1"/>
  <c r="CU77" i="1" s="1"/>
  <c r="BW77" i="1"/>
  <c r="BZ41" i="1"/>
  <c r="CL41" i="1" s="1"/>
  <c r="BN41" i="1"/>
  <c r="BU56" i="1"/>
  <c r="CG56" i="1"/>
  <c r="CS56" i="1" s="1"/>
  <c r="CA16" i="1"/>
  <c r="CM16" i="1" s="1"/>
  <c r="BO16" i="1"/>
  <c r="CF16" i="1"/>
  <c r="CR16" i="1" s="1"/>
  <c r="BT16" i="1"/>
  <c r="X31" i="1"/>
  <c r="S31" i="1"/>
  <c r="AB31" i="1" s="1"/>
  <c r="BS34" i="1"/>
  <c r="CE34" i="1"/>
  <c r="CQ34" i="1" s="1"/>
  <c r="BR23" i="1"/>
  <c r="CD23" i="1"/>
  <c r="CP23" i="1" s="1"/>
  <c r="AM23" i="1"/>
  <c r="AL23" i="1"/>
  <c r="BJ25" i="1"/>
  <c r="BI25" i="1"/>
  <c r="BB25" i="1"/>
  <c r="AG25" i="1"/>
  <c r="BK25" i="1"/>
  <c r="BA25" i="1"/>
  <c r="BH25" i="1"/>
  <c r="AZ25" i="1"/>
  <c r="BG25" i="1"/>
  <c r="BF25" i="1"/>
  <c r="BE25" i="1"/>
  <c r="BD25" i="1"/>
  <c r="BC25" i="1"/>
  <c r="AH25" i="1"/>
  <c r="AH100" i="1" s="1"/>
  <c r="BL12" i="1"/>
  <c r="CV12" i="1"/>
  <c r="BX12" i="1"/>
  <c r="CJ12" i="1" s="1"/>
  <c r="CA12" i="1"/>
  <c r="CM12" i="1" s="1"/>
  <c r="BO12" i="1"/>
  <c r="CE9" i="1"/>
  <c r="CQ9" i="1" s="1"/>
  <c r="BS9" i="1"/>
  <c r="AI107" i="1"/>
  <c r="CW8" i="1"/>
  <c r="BT4" i="1"/>
  <c r="CF4" i="1"/>
  <c r="CD4" i="1"/>
  <c r="BR4" i="1"/>
  <c r="CT4" i="1"/>
  <c r="AH107" i="1"/>
  <c r="CI6" i="1"/>
  <c r="CU6" i="1" s="1"/>
  <c r="BW6" i="1"/>
  <c r="CE7" i="1"/>
  <c r="CQ7" i="1" s="1"/>
  <c r="BS7" i="1"/>
  <c r="CH7" i="1"/>
  <c r="CT7" i="1" s="1"/>
  <c r="BV7" i="1"/>
  <c r="AM5" i="1"/>
  <c r="AL5" i="1"/>
  <c r="CE94" i="1"/>
  <c r="CQ94" i="1" s="1"/>
  <c r="BS94" i="1"/>
  <c r="CI34" i="1"/>
  <c r="CU34" i="1" s="1"/>
  <c r="BW34" i="1"/>
  <c r="CG41" i="1"/>
  <c r="CS41" i="1" s="1"/>
  <c r="BU41" i="1"/>
  <c r="CH56" i="1"/>
  <c r="CT56" i="1" s="1"/>
  <c r="BV56" i="1"/>
  <c r="BG89" i="1"/>
  <c r="BE89" i="1"/>
  <c r="BD89" i="1"/>
  <c r="BK89" i="1"/>
  <c r="BC89" i="1"/>
  <c r="AH89" i="1"/>
  <c r="AH103" i="1" s="1"/>
  <c r="BJ89" i="1"/>
  <c r="BB89" i="1"/>
  <c r="AG89" i="1"/>
  <c r="AG103" i="1" s="1"/>
  <c r="BI89" i="1"/>
  <c r="BA89" i="1"/>
  <c r="BH89" i="1"/>
  <c r="BF89" i="1"/>
  <c r="AZ89" i="1"/>
  <c r="BS85" i="1"/>
  <c r="CE85" i="1"/>
  <c r="CQ85" i="1" s="1"/>
  <c r="BN94" i="1"/>
  <c r="BZ94" i="1"/>
  <c r="CL94" i="1" s="1"/>
  <c r="CD94" i="1"/>
  <c r="CP94" i="1" s="1"/>
  <c r="BR94" i="1"/>
  <c r="BP81" i="1"/>
  <c r="CB81" i="1"/>
  <c r="CN81" i="1" s="1"/>
  <c r="CH81" i="1"/>
  <c r="CT81" i="1" s="1"/>
  <c r="BV81" i="1"/>
  <c r="BT85" i="1"/>
  <c r="CF85" i="1"/>
  <c r="CR85" i="1" s="1"/>
  <c r="CI85" i="1"/>
  <c r="CU85" i="1" s="1"/>
  <c r="BW85" i="1"/>
  <c r="BP77" i="1"/>
  <c r="CB77" i="1"/>
  <c r="CN77" i="1" s="1"/>
  <c r="CH41" i="1"/>
  <c r="CT41" i="1" s="1"/>
  <c r="BV41" i="1"/>
  <c r="AL56" i="1"/>
  <c r="AM56" i="1"/>
  <c r="AM16" i="1"/>
  <c r="AL16" i="1"/>
  <c r="CV41" i="1"/>
  <c r="CV16" i="1"/>
  <c r="BX16" i="1"/>
  <c r="CJ16" i="1" s="1"/>
  <c r="BL16" i="1"/>
  <c r="Y31" i="1"/>
  <c r="T31" i="1"/>
  <c r="AC31" i="1" s="1"/>
  <c r="AI31" i="1" s="1"/>
  <c r="BS16" i="1"/>
  <c r="CE16" i="1"/>
  <c r="CQ16" i="1" s="1"/>
  <c r="BL34" i="1"/>
  <c r="CV34" i="1"/>
  <c r="BX34" i="1"/>
  <c r="CJ34" i="1" s="1"/>
  <c r="CA34" i="1"/>
  <c r="CM34" i="1" s="1"/>
  <c r="BO34" i="1"/>
  <c r="BS23" i="1"/>
  <c r="CE23" i="1"/>
  <c r="CQ23" i="1" s="1"/>
  <c r="CA23" i="1"/>
  <c r="CM23" i="1" s="1"/>
  <c r="BO23" i="1"/>
  <c r="BT12" i="1"/>
  <c r="CF12" i="1"/>
  <c r="CR12" i="1" s="1"/>
  <c r="CI12" i="1"/>
  <c r="CU12" i="1" s="1"/>
  <c r="BW12" i="1"/>
  <c r="CV9" i="1"/>
  <c r="BX9" i="1"/>
  <c r="CJ9" i="1" s="1"/>
  <c r="BL9" i="1"/>
  <c r="BM4" i="1"/>
  <c r="BY4" i="1"/>
  <c r="BW7" i="1"/>
  <c r="CI7" i="1"/>
  <c r="CU7" i="1" s="1"/>
  <c r="CA8" i="1"/>
  <c r="CM8" i="1" s="1"/>
  <c r="BO8" i="1"/>
  <c r="BV6" i="1"/>
  <c r="CH6" i="1"/>
  <c r="CT6" i="1" s="1"/>
  <c r="AM9" i="1"/>
  <c r="CV7" i="1"/>
  <c r="BX7" i="1"/>
  <c r="CJ7" i="1" s="1"/>
  <c r="BL7" i="1"/>
  <c r="BP5" i="1"/>
  <c r="CB5" i="1"/>
  <c r="CN5" i="1" s="1"/>
  <c r="BZ5" i="1"/>
  <c r="CL5" i="1" s="1"/>
  <c r="BN5" i="1"/>
  <c r="CC10" i="1" l="1"/>
  <c r="CO10" i="1" s="1"/>
  <c r="BQ10" i="1"/>
  <c r="BY13" i="1"/>
  <c r="CK13" i="1" s="1"/>
  <c r="BM13" i="1"/>
  <c r="BR48" i="1"/>
  <c r="CD48" i="1"/>
  <c r="CP48" i="1" s="1"/>
  <c r="BT89" i="1"/>
  <c r="CF89" i="1"/>
  <c r="CR89" i="1" s="1"/>
  <c r="BW89" i="1"/>
  <c r="CI89" i="1"/>
  <c r="CU89" i="1" s="1"/>
  <c r="CP4" i="1"/>
  <c r="CB25" i="1"/>
  <c r="CN25" i="1" s="1"/>
  <c r="BP25" i="1"/>
  <c r="AM25" i="1"/>
  <c r="AL25" i="1"/>
  <c r="AG100" i="1"/>
  <c r="AG115" i="1"/>
  <c r="AL73" i="1"/>
  <c r="AM73" i="1"/>
  <c r="CE73" i="1"/>
  <c r="CQ73" i="1" s="1"/>
  <c r="BS73" i="1"/>
  <c r="AG102" i="1"/>
  <c r="BS65" i="1"/>
  <c r="CE65" i="1"/>
  <c r="CQ65" i="1" s="1"/>
  <c r="CI65" i="1"/>
  <c r="CU65" i="1" s="1"/>
  <c r="BW65" i="1"/>
  <c r="BV10" i="1"/>
  <c r="CH10" i="1"/>
  <c r="CT10" i="1" s="1"/>
  <c r="CD10" i="1"/>
  <c r="CP10" i="1" s="1"/>
  <c r="BR10" i="1"/>
  <c r="CF26" i="1"/>
  <c r="CR26" i="1" s="1"/>
  <c r="BT26" i="1"/>
  <c r="CI26" i="1"/>
  <c r="CU26" i="1" s="1"/>
  <c r="BW26" i="1"/>
  <c r="BW13" i="1"/>
  <c r="CI13" i="1"/>
  <c r="CU13" i="1" s="1"/>
  <c r="CG13" i="1"/>
  <c r="CS13" i="1" s="1"/>
  <c r="BU13" i="1"/>
  <c r="BS19" i="1"/>
  <c r="CE19" i="1"/>
  <c r="CQ19" i="1" s="1"/>
  <c r="CA19" i="1"/>
  <c r="CM19" i="1" s="1"/>
  <c r="BO19" i="1"/>
  <c r="BU27" i="1"/>
  <c r="CG27" i="1"/>
  <c r="CS27" i="1" s="1"/>
  <c r="CC27" i="1"/>
  <c r="CO27" i="1" s="1"/>
  <c r="BQ27" i="1"/>
  <c r="BW48" i="1"/>
  <c r="CI48" i="1"/>
  <c r="CU48" i="1" s="1"/>
  <c r="AM48" i="1"/>
  <c r="AL48" i="1"/>
  <c r="BV45" i="1"/>
  <c r="CH45" i="1"/>
  <c r="CT45" i="1" s="1"/>
  <c r="CF45" i="1"/>
  <c r="CR45" i="1" s="1"/>
  <c r="BT45" i="1"/>
  <c r="CQ4" i="1"/>
  <c r="BS28" i="1"/>
  <c r="CE28" i="1"/>
  <c r="CQ28" i="1" s="1"/>
  <c r="CG69" i="1"/>
  <c r="CS69" i="1" s="1"/>
  <c r="BU69" i="1"/>
  <c r="BM67" i="1"/>
  <c r="BY67" i="1"/>
  <c r="CK67" i="1" s="1"/>
  <c r="BW67" i="1"/>
  <c r="CI67" i="1"/>
  <c r="CU67" i="1" s="1"/>
  <c r="BO25" i="1"/>
  <c r="CA25" i="1"/>
  <c r="CM25" i="1" s="1"/>
  <c r="CB27" i="1"/>
  <c r="CN27" i="1" s="1"/>
  <c r="BP27" i="1"/>
  <c r="BR28" i="1"/>
  <c r="CD28" i="1"/>
  <c r="CP28" i="1" s="1"/>
  <c r="BY69" i="1"/>
  <c r="CK69" i="1" s="1"/>
  <c r="BM69" i="1"/>
  <c r="AI101" i="1"/>
  <c r="CW31" i="1"/>
  <c r="CW97" i="1" s="1"/>
  <c r="BM89" i="1"/>
  <c r="BY89" i="1"/>
  <c r="CK89" i="1" s="1"/>
  <c r="CB89" i="1"/>
  <c r="CN89" i="1" s="1"/>
  <c r="BP89" i="1"/>
  <c r="CC25" i="1"/>
  <c r="CO25" i="1" s="1"/>
  <c r="BQ25" i="1"/>
  <c r="BZ25" i="1"/>
  <c r="CL25" i="1" s="1"/>
  <c r="BN25" i="1"/>
  <c r="BN73" i="1"/>
  <c r="BZ73" i="1"/>
  <c r="CL73" i="1" s="1"/>
  <c r="CV73" i="1"/>
  <c r="BX73" i="1"/>
  <c r="CJ73" i="1" s="1"/>
  <c r="BL73" i="1"/>
  <c r="BY65" i="1"/>
  <c r="CK65" i="1" s="1"/>
  <c r="BM65" i="1"/>
  <c r="CB65" i="1"/>
  <c r="CN65" i="1" s="1"/>
  <c r="BP65" i="1"/>
  <c r="BY26" i="1"/>
  <c r="CK26" i="1" s="1"/>
  <c r="BM26" i="1"/>
  <c r="BP13" i="1"/>
  <c r="CB13" i="1"/>
  <c r="CN13" i="1" s="1"/>
  <c r="BL19" i="1"/>
  <c r="CV19" i="1"/>
  <c r="BX19" i="1"/>
  <c r="CJ19" i="1" s="1"/>
  <c r="CI19" i="1"/>
  <c r="CU19" i="1" s="1"/>
  <c r="BW19" i="1"/>
  <c r="AM27" i="1"/>
  <c r="AL27" i="1"/>
  <c r="CD27" i="1"/>
  <c r="CP27" i="1" s="1"/>
  <c r="BR27" i="1"/>
  <c r="BP48" i="1"/>
  <c r="CB48" i="1"/>
  <c r="CN48" i="1" s="1"/>
  <c r="BZ48" i="1"/>
  <c r="CL48" i="1" s="1"/>
  <c r="BN48" i="1"/>
  <c r="CV28" i="1"/>
  <c r="BX28" i="1"/>
  <c r="CJ28" i="1" s="1"/>
  <c r="BL28" i="1"/>
  <c r="CA28" i="1"/>
  <c r="CM28" i="1" s="1"/>
  <c r="BO28" i="1"/>
  <c r="AG114" i="1"/>
  <c r="AM69" i="1"/>
  <c r="AL69" i="1"/>
  <c r="BP67" i="1"/>
  <c r="CB67" i="1"/>
  <c r="CN67" i="1" s="1"/>
  <c r="CC67" i="1"/>
  <c r="CO67" i="1" s="1"/>
  <c r="BQ67" i="1"/>
  <c r="BR89" i="1"/>
  <c r="CD89" i="1"/>
  <c r="CP89" i="1" s="1"/>
  <c r="AG108" i="1"/>
  <c r="AM19" i="1"/>
  <c r="AL19" i="1"/>
  <c r="CB69" i="1"/>
  <c r="CN69" i="1" s="1"/>
  <c r="BP69" i="1"/>
  <c r="BD31" i="1"/>
  <c r="BD96" i="1" s="1"/>
  <c r="BP96" i="1" s="1"/>
  <c r="BK31" i="1"/>
  <c r="BC31" i="1"/>
  <c r="AH31" i="1"/>
  <c r="AH96" i="1" s="1"/>
  <c r="BJ31" i="1"/>
  <c r="BB31" i="1"/>
  <c r="AG31" i="1"/>
  <c r="AG106" i="1" s="1"/>
  <c r="BI31" i="1"/>
  <c r="BA31" i="1"/>
  <c r="BH31" i="1"/>
  <c r="AZ31" i="1"/>
  <c r="BG31" i="1"/>
  <c r="BF31" i="1"/>
  <c r="BE31" i="1"/>
  <c r="BU89" i="1"/>
  <c r="CG89" i="1"/>
  <c r="CS89" i="1" s="1"/>
  <c r="CC89" i="1"/>
  <c r="CO89" i="1" s="1"/>
  <c r="BQ89" i="1"/>
  <c r="CR4" i="1"/>
  <c r="BR25" i="1"/>
  <c r="CD25" i="1"/>
  <c r="CP25" i="1" s="1"/>
  <c r="BU25" i="1"/>
  <c r="CG25" i="1"/>
  <c r="CS25" i="1" s="1"/>
  <c r="BV73" i="1"/>
  <c r="CH73" i="1"/>
  <c r="CT73" i="1" s="1"/>
  <c r="CF73" i="1"/>
  <c r="CR73" i="1" s="1"/>
  <c r="BT73" i="1"/>
  <c r="CO4" i="1"/>
  <c r="BJ36" i="1"/>
  <c r="BI36" i="1"/>
  <c r="BK36" i="1"/>
  <c r="BA36" i="1"/>
  <c r="BH36" i="1"/>
  <c r="AZ36" i="1"/>
  <c r="BG36" i="1"/>
  <c r="BF36" i="1"/>
  <c r="BE36" i="1"/>
  <c r="BE96" i="1" s="1"/>
  <c r="BQ96" i="1" s="1"/>
  <c r="BD36" i="1"/>
  <c r="BC36" i="1"/>
  <c r="AH36" i="1"/>
  <c r="AH109" i="1" s="1"/>
  <c r="AG36" i="1"/>
  <c r="BB36" i="1"/>
  <c r="CG65" i="1"/>
  <c r="CS65" i="1" s="1"/>
  <c r="BU65" i="1"/>
  <c r="AI104" i="1"/>
  <c r="CA10" i="1"/>
  <c r="CM10" i="1" s="1"/>
  <c r="BO10" i="1"/>
  <c r="CN4" i="1"/>
  <c r="CG26" i="1"/>
  <c r="CS26" i="1" s="1"/>
  <c r="BU26" i="1"/>
  <c r="CU4" i="1"/>
  <c r="BQ13" i="1"/>
  <c r="CC13" i="1"/>
  <c r="CO13" i="1" s="1"/>
  <c r="BT19" i="1"/>
  <c r="CF19" i="1"/>
  <c r="CR19" i="1" s="1"/>
  <c r="BN27" i="1"/>
  <c r="BZ27" i="1"/>
  <c r="CL27" i="1" s="1"/>
  <c r="CE27" i="1"/>
  <c r="CQ27" i="1" s="1"/>
  <c r="BS27" i="1"/>
  <c r="BQ48" i="1"/>
  <c r="CC48" i="1"/>
  <c r="CO48" i="1" s="1"/>
  <c r="CH48" i="1"/>
  <c r="CT48" i="1" s="1"/>
  <c r="BV48" i="1"/>
  <c r="BO45" i="1"/>
  <c r="CA45" i="1"/>
  <c r="CM45" i="1" s="1"/>
  <c r="CF28" i="1"/>
  <c r="CR28" i="1" s="1"/>
  <c r="BT28" i="1"/>
  <c r="CI28" i="1"/>
  <c r="CU28" i="1" s="1"/>
  <c r="BW28" i="1"/>
  <c r="AI109" i="1"/>
  <c r="BL69" i="1"/>
  <c r="CV69" i="1"/>
  <c r="BX69" i="1"/>
  <c r="CJ69" i="1" s="1"/>
  <c r="BZ69" i="1"/>
  <c r="CL69" i="1" s="1"/>
  <c r="BN69" i="1"/>
  <c r="BU67" i="1"/>
  <c r="CG67" i="1"/>
  <c r="CS67" i="1" s="1"/>
  <c r="CD67" i="1"/>
  <c r="CP67" i="1" s="1"/>
  <c r="BR67" i="1"/>
  <c r="CD73" i="1"/>
  <c r="CP73" i="1" s="1"/>
  <c r="BR73" i="1"/>
  <c r="CA65" i="1"/>
  <c r="CM65" i="1" s="1"/>
  <c r="BO65" i="1"/>
  <c r="CA26" i="1"/>
  <c r="CM26" i="1" s="1"/>
  <c r="BO26" i="1"/>
  <c r="BM27" i="1"/>
  <c r="BY27" i="1"/>
  <c r="CK27" i="1" s="1"/>
  <c r="AM89" i="1"/>
  <c r="AL89" i="1"/>
  <c r="CE89" i="1"/>
  <c r="CQ89" i="1" s="1"/>
  <c r="BS89" i="1"/>
  <c r="BS25" i="1"/>
  <c r="CE25" i="1"/>
  <c r="CQ25" i="1" s="1"/>
  <c r="CH25" i="1"/>
  <c r="CT25" i="1" s="1"/>
  <c r="BV25" i="1"/>
  <c r="AM65" i="1"/>
  <c r="AL65" i="1"/>
  <c r="BS10" i="1"/>
  <c r="CE10" i="1"/>
  <c r="CQ10" i="1" s="1"/>
  <c r="CI10" i="1"/>
  <c r="CU10" i="1" s="1"/>
  <c r="BW10" i="1"/>
  <c r="BP26" i="1"/>
  <c r="CB26" i="1"/>
  <c r="CN26" i="1" s="1"/>
  <c r="AM26" i="1"/>
  <c r="AL26" i="1"/>
  <c r="BK96" i="1"/>
  <c r="BW96" i="1" s="1"/>
  <c r="BN13" i="1"/>
  <c r="BZ13" i="1"/>
  <c r="CL13" i="1" s="1"/>
  <c r="CD13" i="1"/>
  <c r="CP13" i="1" s="1"/>
  <c r="BR13" i="1"/>
  <c r="BM19" i="1"/>
  <c r="BY19" i="1"/>
  <c r="CK19" i="1" s="1"/>
  <c r="CB19" i="1"/>
  <c r="CN19" i="1" s="1"/>
  <c r="BP19" i="1"/>
  <c r="BV27" i="1"/>
  <c r="CH27" i="1"/>
  <c r="CT27" i="1" s="1"/>
  <c r="CE48" i="1"/>
  <c r="CQ48" i="1" s="1"/>
  <c r="BS48" i="1"/>
  <c r="BM45" i="1"/>
  <c r="BY45" i="1"/>
  <c r="CK45" i="1" s="1"/>
  <c r="BW45" i="1"/>
  <c r="CI45" i="1"/>
  <c r="CU45" i="1" s="1"/>
  <c r="BY28" i="1"/>
  <c r="CK28" i="1" s="1"/>
  <c r="BM28" i="1"/>
  <c r="BQ69" i="1"/>
  <c r="CC69" i="1"/>
  <c r="CO69" i="1" s="1"/>
  <c r="CH69" i="1"/>
  <c r="CT69" i="1" s="1"/>
  <c r="BV69" i="1"/>
  <c r="AG110" i="1"/>
  <c r="AL67" i="1"/>
  <c r="AM67" i="1"/>
  <c r="CE67" i="1"/>
  <c r="CQ67" i="1" s="1"/>
  <c r="BS67" i="1"/>
  <c r="BW25" i="1"/>
  <c r="CI25" i="1"/>
  <c r="CU25" i="1" s="1"/>
  <c r="CV45" i="1"/>
  <c r="BX45" i="1"/>
  <c r="CJ45" i="1" s="1"/>
  <c r="BL45" i="1"/>
  <c r="CK4" i="1"/>
  <c r="BZ89" i="1"/>
  <c r="CL89" i="1" s="1"/>
  <c r="BN89" i="1"/>
  <c r="BL25" i="1"/>
  <c r="CV25" i="1"/>
  <c r="BX25" i="1"/>
  <c r="CJ25" i="1" s="1"/>
  <c r="BO73" i="1"/>
  <c r="CA73" i="1"/>
  <c r="CM73" i="1" s="1"/>
  <c r="CJ4" i="1"/>
  <c r="BL65" i="1"/>
  <c r="CV65" i="1"/>
  <c r="BX65" i="1"/>
  <c r="CJ65" i="1" s="1"/>
  <c r="BZ65" i="1"/>
  <c r="CL65" i="1" s="1"/>
  <c r="BN65" i="1"/>
  <c r="CV10" i="1"/>
  <c r="BL10" i="1"/>
  <c r="BX10" i="1"/>
  <c r="CJ10" i="1" s="1"/>
  <c r="AM10" i="1"/>
  <c r="AL10" i="1"/>
  <c r="AG98" i="1"/>
  <c r="AG96" i="1"/>
  <c r="BS26" i="1"/>
  <c r="CE26" i="1"/>
  <c r="CQ26" i="1" s="1"/>
  <c r="BZ26" i="1"/>
  <c r="CL26" i="1" s="1"/>
  <c r="BN26" i="1"/>
  <c r="BV13" i="1"/>
  <c r="CH13" i="1"/>
  <c r="CT13" i="1" s="1"/>
  <c r="CE13" i="1"/>
  <c r="CQ13" i="1" s="1"/>
  <c r="BS13" i="1"/>
  <c r="BU19" i="1"/>
  <c r="CG19" i="1"/>
  <c r="CS19" i="1" s="1"/>
  <c r="CC19" i="1"/>
  <c r="CO19" i="1" s="1"/>
  <c r="BQ19" i="1"/>
  <c r="CV48" i="1"/>
  <c r="BX48" i="1"/>
  <c r="CJ48" i="1" s="1"/>
  <c r="BL48" i="1"/>
  <c r="BP45" i="1"/>
  <c r="CB45" i="1"/>
  <c r="CN45" i="1" s="1"/>
  <c r="CC45" i="1"/>
  <c r="CO45" i="1" s="1"/>
  <c r="BQ45" i="1"/>
  <c r="CG28" i="1"/>
  <c r="CS28" i="1" s="1"/>
  <c r="BU28" i="1"/>
  <c r="BT69" i="1"/>
  <c r="CF69" i="1"/>
  <c r="CR69" i="1" s="1"/>
  <c r="BN67" i="1"/>
  <c r="BZ67" i="1"/>
  <c r="CL67" i="1" s="1"/>
  <c r="CV67" i="1"/>
  <c r="BX67" i="1"/>
  <c r="CJ67" i="1" s="1"/>
  <c r="BL67" i="1"/>
  <c r="CS4" i="1"/>
  <c r="BU73" i="1"/>
  <c r="CG73" i="1"/>
  <c r="CS73" i="1" s="1"/>
  <c r="BR65" i="1"/>
  <c r="CD65" i="1"/>
  <c r="CP65" i="1" s="1"/>
  <c r="CV26" i="1"/>
  <c r="BX26" i="1"/>
  <c r="CJ26" i="1" s="1"/>
  <c r="BL26" i="1"/>
  <c r="BR19" i="1"/>
  <c r="CD19" i="1"/>
  <c r="CP19" i="1" s="1"/>
  <c r="BN45" i="1"/>
  <c r="BZ45" i="1"/>
  <c r="CL45" i="1" s="1"/>
  <c r="CH28" i="1"/>
  <c r="CT28" i="1" s="1"/>
  <c r="BV28" i="1"/>
  <c r="CH89" i="1"/>
  <c r="CT89" i="1" s="1"/>
  <c r="BV89" i="1"/>
  <c r="BT25" i="1"/>
  <c r="CF25" i="1"/>
  <c r="CR25" i="1" s="1"/>
  <c r="BP73" i="1"/>
  <c r="CB73" i="1"/>
  <c r="CN73" i="1" s="1"/>
  <c r="BW73" i="1"/>
  <c r="CI73" i="1"/>
  <c r="CU73" i="1" s="1"/>
  <c r="BQ65" i="1"/>
  <c r="CC65" i="1"/>
  <c r="CO65" i="1" s="1"/>
  <c r="CH65" i="1"/>
  <c r="CT65" i="1" s="1"/>
  <c r="BV65" i="1"/>
  <c r="BT10" i="1"/>
  <c r="CF10" i="1"/>
  <c r="CR10" i="1" s="1"/>
  <c r="CB10" i="1"/>
  <c r="CN10" i="1" s="1"/>
  <c r="BP10" i="1"/>
  <c r="BQ26" i="1"/>
  <c r="CC26" i="1"/>
  <c r="CO26" i="1" s="1"/>
  <c r="CH26" i="1"/>
  <c r="CT26" i="1" s="1"/>
  <c r="BV26" i="1"/>
  <c r="AI96" i="1"/>
  <c r="AG99" i="1"/>
  <c r="AM13" i="1"/>
  <c r="AL13" i="1"/>
  <c r="CV13" i="1"/>
  <c r="BX13" i="1"/>
  <c r="CJ13" i="1" s="1"/>
  <c r="BL13" i="1"/>
  <c r="BZ19" i="1"/>
  <c r="CL19" i="1" s="1"/>
  <c r="BN19" i="1"/>
  <c r="BL27" i="1"/>
  <c r="CV27" i="1"/>
  <c r="BX27" i="1"/>
  <c r="CJ27" i="1" s="1"/>
  <c r="BO27" i="1"/>
  <c r="CA27" i="1"/>
  <c r="CM27" i="1" s="1"/>
  <c r="CF48" i="1"/>
  <c r="CR48" i="1" s="1"/>
  <c r="BT48" i="1"/>
  <c r="BU45" i="1"/>
  <c r="CG45" i="1"/>
  <c r="CS45" i="1" s="1"/>
  <c r="CD45" i="1"/>
  <c r="CP45" i="1" s="1"/>
  <c r="BR45" i="1"/>
  <c r="BP28" i="1"/>
  <c r="CB28" i="1"/>
  <c r="CN28" i="1" s="1"/>
  <c r="AG111" i="1"/>
  <c r="AM28" i="1"/>
  <c r="AL28" i="1"/>
  <c r="BR69" i="1"/>
  <c r="CD69" i="1"/>
  <c r="CP69" i="1" s="1"/>
  <c r="CA69" i="1"/>
  <c r="CM69" i="1" s="1"/>
  <c r="BO69" i="1"/>
  <c r="BV67" i="1"/>
  <c r="CH67" i="1"/>
  <c r="CT67" i="1" s="1"/>
  <c r="CF67" i="1"/>
  <c r="CR67" i="1" s="1"/>
  <c r="BT67" i="1"/>
  <c r="BO89" i="1"/>
  <c r="CA89" i="1"/>
  <c r="CM89" i="1" s="1"/>
  <c r="BU10" i="1"/>
  <c r="CG10" i="1"/>
  <c r="CS10" i="1" s="1"/>
  <c r="BO13" i="1"/>
  <c r="CA13" i="1"/>
  <c r="CM13" i="1" s="1"/>
  <c r="CG48" i="1"/>
  <c r="CS48" i="1" s="1"/>
  <c r="BU48" i="1"/>
  <c r="BC96" i="1"/>
  <c r="BO96" i="1" s="1"/>
  <c r="BO67" i="1"/>
  <c r="CA67" i="1"/>
  <c r="CM67" i="1" s="1"/>
  <c r="BA96" i="1"/>
  <c r="BM96" i="1" s="1"/>
  <c r="BL89" i="1"/>
  <c r="BX89" i="1"/>
  <c r="CJ89" i="1" s="1"/>
  <c r="CV89" i="1"/>
  <c r="BY25" i="1"/>
  <c r="CK25" i="1" s="1"/>
  <c r="BM25" i="1"/>
  <c r="BM73" i="1"/>
  <c r="BY73" i="1"/>
  <c r="CK73" i="1" s="1"/>
  <c r="CC73" i="1"/>
  <c r="CO73" i="1" s="1"/>
  <c r="BQ73" i="1"/>
  <c r="BT65" i="1"/>
  <c r="CF65" i="1"/>
  <c r="CR65" i="1" s="1"/>
  <c r="BM10" i="1"/>
  <c r="BY10" i="1"/>
  <c r="CK10" i="1" s="1"/>
  <c r="BN10" i="1"/>
  <c r="BZ10" i="1"/>
  <c r="CL10" i="1" s="1"/>
  <c r="BR26" i="1"/>
  <c r="CD26" i="1"/>
  <c r="CP26" i="1" s="1"/>
  <c r="AH99" i="1"/>
  <c r="CF13" i="1"/>
  <c r="CR13" i="1" s="1"/>
  <c r="BT13" i="1"/>
  <c r="CH19" i="1"/>
  <c r="CT19" i="1" s="1"/>
  <c r="BV19" i="1"/>
  <c r="BT27" i="1"/>
  <c r="CF27" i="1"/>
  <c r="CR27" i="1" s="1"/>
  <c r="BW27" i="1"/>
  <c r="CI27" i="1"/>
  <c r="CU27" i="1" s="1"/>
  <c r="BO48" i="1"/>
  <c r="CA48" i="1"/>
  <c r="CM48" i="1" s="1"/>
  <c r="BY48" i="1"/>
  <c r="CK48" i="1" s="1"/>
  <c r="BM48" i="1"/>
  <c r="AG112" i="1"/>
  <c r="AL45" i="1"/>
  <c r="AM45" i="1"/>
  <c r="CE45" i="1"/>
  <c r="CQ45" i="1" s="1"/>
  <c r="BS45" i="1"/>
  <c r="AH102" i="1"/>
  <c r="CM4" i="1"/>
  <c r="BQ28" i="1"/>
  <c r="CC28" i="1"/>
  <c r="CO28" i="1" s="1"/>
  <c r="BZ28" i="1"/>
  <c r="CL28" i="1" s="1"/>
  <c r="BN28" i="1"/>
  <c r="BS69" i="1"/>
  <c r="CE69" i="1"/>
  <c r="CQ69" i="1" s="1"/>
  <c r="CI69" i="1"/>
  <c r="CU69" i="1" s="1"/>
  <c r="BW69" i="1"/>
  <c r="BI96" i="1"/>
  <c r="BU96" i="1" s="1"/>
  <c r="BR36" i="1" l="1"/>
  <c r="CD36" i="1"/>
  <c r="CP36" i="1" s="1"/>
  <c r="CP96" i="1" s="1"/>
  <c r="BQ31" i="1"/>
  <c r="CC31" i="1"/>
  <c r="CO31" i="1" s="1"/>
  <c r="BZ31" i="1"/>
  <c r="CL31" i="1" s="1"/>
  <c r="BN31" i="1"/>
  <c r="BB96" i="1"/>
  <c r="BN96" i="1" s="1"/>
  <c r="CE36" i="1"/>
  <c r="CQ36" i="1" s="1"/>
  <c r="BS36" i="1"/>
  <c r="CC96" i="1"/>
  <c r="BR31" i="1"/>
  <c r="CD31" i="1"/>
  <c r="CP31" i="1" s="1"/>
  <c r="CH31" i="1"/>
  <c r="CT31" i="1" s="1"/>
  <c r="CT96" i="1" s="1"/>
  <c r="BV31" i="1"/>
  <c r="BJ96" i="1"/>
  <c r="BV96" i="1" s="1"/>
  <c r="BZ96" i="1"/>
  <c r="CC36" i="1"/>
  <c r="CO36" i="1" s="1"/>
  <c r="CO96" i="1" s="1"/>
  <c r="BQ36" i="1"/>
  <c r="BZ36" i="1"/>
  <c r="CL36" i="1" s="1"/>
  <c r="CL96" i="1" s="1"/>
  <c r="BN36" i="1"/>
  <c r="BX36" i="1"/>
  <c r="CJ36" i="1" s="1"/>
  <c r="CJ96" i="1" s="1"/>
  <c r="CJ97" i="1" s="1"/>
  <c r="CV36" i="1"/>
  <c r="BL36" i="1"/>
  <c r="BS31" i="1"/>
  <c r="CE31" i="1"/>
  <c r="CQ31" i="1" s="1"/>
  <c r="AH101" i="1"/>
  <c r="AH104" i="1" s="1"/>
  <c r="AH106" i="1"/>
  <c r="CH36" i="1"/>
  <c r="CT36" i="1" s="1"/>
  <c r="BV36" i="1"/>
  <c r="AL36" i="1"/>
  <c r="AM36" i="1"/>
  <c r="AG109" i="1"/>
  <c r="CF36" i="1"/>
  <c r="CR36" i="1" s="1"/>
  <c r="CR96" i="1" s="1"/>
  <c r="BT36" i="1"/>
  <c r="BL31" i="1"/>
  <c r="CV31" i="1"/>
  <c r="CV97" i="1" s="1"/>
  <c r="AM96" i="1" s="1"/>
  <c r="BX31" i="1"/>
  <c r="CJ31" i="1" s="1"/>
  <c r="AZ96" i="1"/>
  <c r="CA31" i="1"/>
  <c r="CM31" i="1" s="1"/>
  <c r="CM96" i="1" s="1"/>
  <c r="BO31" i="1"/>
  <c r="AG101" i="1"/>
  <c r="AG104" i="1" s="1"/>
  <c r="AM31" i="1"/>
  <c r="AL31" i="1"/>
  <c r="BY36" i="1"/>
  <c r="CK36" i="1" s="1"/>
  <c r="BM36" i="1"/>
  <c r="BT31" i="1"/>
  <c r="CF31" i="1"/>
  <c r="CR31" i="1" s="1"/>
  <c r="CI31" i="1"/>
  <c r="CU31" i="1" s="1"/>
  <c r="CU96" i="1" s="1"/>
  <c r="BW31" i="1"/>
  <c r="BF96" i="1"/>
  <c r="BR96" i="1" s="1"/>
  <c r="CH96" i="1"/>
  <c r="BY96" i="1"/>
  <c r="BO36" i="1"/>
  <c r="CA36" i="1"/>
  <c r="CM36" i="1" s="1"/>
  <c r="CI36" i="1"/>
  <c r="CU36" i="1" s="1"/>
  <c r="BW36" i="1"/>
  <c r="BY31" i="1"/>
  <c r="CK31" i="1" s="1"/>
  <c r="CK96" i="1" s="1"/>
  <c r="BM31" i="1"/>
  <c r="CB31" i="1"/>
  <c r="CN31" i="1" s="1"/>
  <c r="CN96" i="1" s="1"/>
  <c r="BP31" i="1"/>
  <c r="CQ96" i="1"/>
  <c r="BG96" i="1"/>
  <c r="BS96" i="1" s="1"/>
  <c r="BP36" i="1"/>
  <c r="CB36" i="1"/>
  <c r="CN36" i="1" s="1"/>
  <c r="BU36" i="1"/>
  <c r="CG36" i="1"/>
  <c r="CS36" i="1" s="1"/>
  <c r="CG31" i="1"/>
  <c r="CS31" i="1" s="1"/>
  <c r="CS96" i="1" s="1"/>
  <c r="BU31" i="1"/>
  <c r="BH96" i="1"/>
  <c r="BT96" i="1" s="1"/>
  <c r="CI96" i="1" l="1"/>
  <c r="AZ97" i="1"/>
  <c r="AL96" i="1"/>
  <c r="BL97" i="1" s="1"/>
  <c r="BL96" i="1"/>
  <c r="CB96" i="1"/>
  <c r="CG96" i="1"/>
  <c r="BX96" i="1"/>
  <c r="CE96" i="1"/>
  <c r="CD96" i="1"/>
  <c r="CF96" i="1"/>
  <c r="CA96" i="1"/>
  <c r="BX9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tc={A34BA5F1-23C6-4D91-A00D-3F68DF8335E8}</author>
    <author>tc={94C51397-BE66-4ECC-B642-AC518E2697B2}</author>
    <author>tc={CB681F75-45C6-4AA5-9249-5CC88AF01975}</author>
    <author>tc={2A55B97D-FC95-4322-B778-683467290C12}</author>
    <author>tc={6A0D6A3D-4ED9-4FE9-8E1D-35F313B26467}</author>
    <author>tc={1280E157-B1A7-4C15-BE0F-86DB8B36F8FA}</author>
    <author>tc={16048EA5-8EB2-4675-96C0-58338772E34E}</author>
    <author>tc={4970ADA9-8DD5-4940-AFCD-F3B396F61792}</author>
    <author>tc={D238996C-9C71-4F11-AB2A-6EFD1A5EF0A3}</author>
    <author>tc={804AD3BF-76E1-4068-BC1C-CA54761935E2}</author>
    <author>tc={82F3A20A-2B12-431A-AAF0-740ACC41DB35}</author>
    <author>tc={AC0ABD0E-053E-48E5-86E2-91B7144E1B5C}</author>
    <author>tc={8F901D3A-0604-44E6-BB7B-32E5ECCE16F7}</author>
    <author>tc={C51F426B-2266-45F3-BB7A-8FF7B3FE5B0C}</author>
  </authors>
  <commentList>
    <comment ref="D3" authorId="0" shapeId="0" xr:uid="{A34BA5F1-23C6-4D91-A00D-3F68DF8335E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Base scorecards</t>
      </text>
    </comment>
    <comment ref="D4" authorId="1" shapeId="0" xr:uid="{94C51397-BE66-4ECC-B642-AC518E2697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5220 en réel</t>
      </text>
    </comment>
    <comment ref="D5" authorId="2" shapeId="0" xr:uid="{CB681F75-45C6-4AA5-9249-5CC88AF0197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5220 en réel</t>
      </text>
    </comment>
    <comment ref="D6" authorId="3" shapeId="0" xr:uid="{2A55B97D-FC95-4322-B778-683467290C1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5220 en réel</t>
      </text>
    </comment>
    <comment ref="D7" authorId="4" shapeId="0" xr:uid="{6A0D6A3D-4ED9-4FE9-8E1D-35F313B2646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5220 en réel</t>
      </text>
    </comment>
    <comment ref="D8" authorId="5" shapeId="0" xr:uid="{1280E157-B1A7-4C15-BE0F-86DB8B36F8F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5220 en réel</t>
      </text>
    </comment>
    <comment ref="D9" authorId="6" shapeId="0" xr:uid="{16048EA5-8EB2-4675-96C0-58338772E3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5220 en réel</t>
      </text>
    </comment>
    <comment ref="D10" authorId="7" shapeId="0" xr:uid="{4970ADA9-8DD5-4940-AFCD-F3B396F617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5040 en réel</t>
      </text>
    </comment>
    <comment ref="D11" authorId="8" shapeId="0" xr:uid="{D238996C-9C71-4F11-AB2A-6EFD1A5EF0A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5160 en réel</t>
      </text>
    </comment>
    <comment ref="D12" authorId="9" shapeId="0" xr:uid="{804AD3BF-76E1-4068-BC1C-CA54761935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5160 en PCB14 et PCB28, 5040 en PCB10</t>
      </text>
    </comment>
    <comment ref="D13" authorId="10" shapeId="0" xr:uid="{82F3A20A-2B12-431A-AAF0-740ACC41DB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16% de RECT / 84% de Ronde</t>
      </text>
    </comment>
    <comment ref="D25" authorId="11" shapeId="0" xr:uid="{AC0ABD0E-053E-48E5-86E2-91B7144E1B5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4800 + 4500</t>
      </text>
    </comment>
    <comment ref="AL65" authorId="12" shapeId="0" xr:uid="{8F901D3A-0604-44E6-BB7B-32E5ECCE16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Base 3*8 mais seulement 50% exploitable cause Ultimate</t>
      </text>
    </comment>
    <comment ref="G67" authorId="13" shapeId="0" xr:uid="{C51F426B-2266-45F3-BB7A-8FF7B3FE5B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Mix 300g et 500g</t>
      </text>
    </comment>
  </commentList>
</comments>
</file>

<file path=xl/sharedStrings.xml><?xml version="1.0" encoding="utf-8"?>
<sst xmlns="http://schemas.openxmlformats.org/spreadsheetml/2006/main" count="756" uniqueCount="231">
  <si>
    <t>CARACTERISTIQUES LIGNE</t>
  </si>
  <si>
    <t>CARACTERISTIQUES PRODUIT</t>
  </si>
  <si>
    <t>TEMPS D'OUVERTURE HEBDOMADAIRE (h)
Tps de nettoyage et démarrage décomptés</t>
  </si>
  <si>
    <t>CAPACITE NOMINALE HEBDOMADAIRE (kuvp)</t>
  </si>
  <si>
    <t>CAPACITE NOMINALE ANNUELLE (To)</t>
  </si>
  <si>
    <t>OEE</t>
  </si>
  <si>
    <t>CAPACITE NETTE HEBDOMADAIRE (kuvp)</t>
  </si>
  <si>
    <t>CAPACITE NETTE ANNUELLE (To)</t>
  </si>
  <si>
    <t>ORGANISATION CHOISIE</t>
  </si>
  <si>
    <t>CAPACITE NETTE ANNUELLE exploitée (kuvp)</t>
  </si>
  <si>
    <t>CAPACITE NETTE exploitée en P6 (kuvp)</t>
  </si>
  <si>
    <t>CAPACITE NETTE ANNUELLE exploitée (To)</t>
  </si>
  <si>
    <t>Offset de saisonnalité</t>
  </si>
  <si>
    <t>Charge budget FY26 (Kuvc)</t>
  </si>
  <si>
    <t>% charge annuelle moyenne</t>
  </si>
  <si>
    <t>% saturation (production chilled)</t>
  </si>
  <si>
    <t>Charge BU FY26 (base Prod kuvp)</t>
  </si>
  <si>
    <t>Capacité BU FY26 (kuvp)</t>
  </si>
  <si>
    <t>Taux de charge BU FY26</t>
  </si>
  <si>
    <t>Capacité résiduelle max (kuvp)</t>
  </si>
  <si>
    <t>Capacité résiduelle pour produits frais (incluant la saisonalité, en kuvp)</t>
  </si>
  <si>
    <t>Capa annuelle nette x offset saisonnalité</t>
  </si>
  <si>
    <t>SITE</t>
  </si>
  <si>
    <t>LIGNE</t>
  </si>
  <si>
    <t>CADENCE NOMINALE (uvp/h)</t>
  </si>
  <si>
    <t>Goulot</t>
  </si>
  <si>
    <t>Format découpe</t>
  </si>
  <si>
    <t>Poids moyen (kg)</t>
  </si>
  <si>
    <t>Format condi.</t>
  </si>
  <si>
    <t>Catégorie</t>
  </si>
  <si>
    <t>Sous-Catégorie</t>
  </si>
  <si>
    <t>2x8</t>
  </si>
  <si>
    <t>3x8</t>
  </si>
  <si>
    <t>3x8+SD</t>
  </si>
  <si>
    <t>3x8+2SD / 5x8</t>
  </si>
  <si>
    <t>OEE BUFY25</t>
  </si>
  <si>
    <t>Rythme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</si>
  <si>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</si>
  <si>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</si>
  <si>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</si>
  <si>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</si>
  <si>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</si>
  <si>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</si>
  <si>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</si>
  <si>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</si>
  <si>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</si>
  <si>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</si>
  <si>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</si>
  <si>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</si>
  <si>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kuvp</t>
  </si>
  <si>
    <t>To</t>
  </si>
  <si>
    <t>RSN</t>
  </si>
  <si>
    <t>DE1</t>
  </si>
  <si>
    <t>Encaisseuse</t>
  </si>
  <si>
    <t>D32</t>
  </si>
  <si>
    <t>FP - Tob</t>
  </si>
  <si>
    <t>PAT</t>
  </si>
  <si>
    <t>PBR</t>
  </si>
  <si>
    <t>DE2</t>
  </si>
  <si>
    <t>Encaisseuse + Ilapak Delta 3000</t>
  </si>
  <si>
    <t>REC 26x32 / D32</t>
  </si>
  <si>
    <t>FP - Tob  / Tubo</t>
  </si>
  <si>
    <t>DE3</t>
  </si>
  <si>
    <t>Encaisseuse + Flowpack</t>
  </si>
  <si>
    <t>DE4</t>
  </si>
  <si>
    <t>REC 26x32 / REC 26x35 / D32</t>
  </si>
  <si>
    <t>DE5</t>
  </si>
  <si>
    <t>Flowpack</t>
  </si>
  <si>
    <t>FP - Etui</t>
  </si>
  <si>
    <t>PAT étui</t>
  </si>
  <si>
    <t>DE6</t>
  </si>
  <si>
    <t>DE7</t>
  </si>
  <si>
    <t>DE7 kit galette</t>
  </si>
  <si>
    <t>D28 / D32</t>
  </si>
  <si>
    <t>DE8</t>
  </si>
  <si>
    <t>Rouleuse / encaisseuse</t>
  </si>
  <si>
    <t>FP - Tubo</t>
  </si>
  <si>
    <t>VIT</t>
  </si>
  <si>
    <t>L1</t>
  </si>
  <si>
    <t>Rouleuse</t>
  </si>
  <si>
    <t>D32 / REC 26x37</t>
  </si>
  <si>
    <t>Ligne de laminage</t>
  </si>
  <si>
    <t>REC 26x37</t>
  </si>
  <si>
    <t>L3</t>
  </si>
  <si>
    <t>REC 24x32 / REC 24x36 / REC 28x32 / D26 / D29</t>
  </si>
  <si>
    <t>FP</t>
  </si>
  <si>
    <t>PZR</t>
  </si>
  <si>
    <t>D26 / D29</t>
  </si>
  <si>
    <t>REC 24x32 / REC 24x36 / REC 28x32</t>
  </si>
  <si>
    <t>L6</t>
  </si>
  <si>
    <t>REC 14x14 / D12,5</t>
  </si>
  <si>
    <t>Plaques</t>
  </si>
  <si>
    <t>Empilés</t>
  </si>
  <si>
    <t>Guillotine / retract</t>
  </si>
  <si>
    <t>REC 14x14</t>
  </si>
  <si>
    <t>FP - 4 plaques</t>
  </si>
  <si>
    <t>FP - 5 plaques</t>
  </si>
  <si>
    <t>D12,5</t>
  </si>
  <si>
    <t>FP - Mini pizza</t>
  </si>
  <si>
    <t>Mini Pizza</t>
  </si>
  <si>
    <t>L7</t>
  </si>
  <si>
    <t>Valveuse DMS</t>
  </si>
  <si>
    <t>D29</t>
  </si>
  <si>
    <t>PZR D29</t>
  </si>
  <si>
    <t>HOE</t>
  </si>
  <si>
    <t>T1.1</t>
  </si>
  <si>
    <t>Roulage TRIVI / Ilapak</t>
  </si>
  <si>
    <t>T1.2</t>
  </si>
  <si>
    <t>Roulage TRIVI / Ilapak / Futura</t>
  </si>
  <si>
    <t>T2</t>
  </si>
  <si>
    <t>Pétrin / Ilapak</t>
  </si>
  <si>
    <t>T3</t>
  </si>
  <si>
    <t>Pétrin / Roulage TRIVI / Ilapak / Futura</t>
  </si>
  <si>
    <t>Multivac</t>
  </si>
  <si>
    <t>D13</t>
  </si>
  <si>
    <t>SNAP</t>
  </si>
  <si>
    <t>RIV</t>
  </si>
  <si>
    <t>Ilapak</t>
  </si>
  <si>
    <t>L2</t>
  </si>
  <si>
    <t>L4</t>
  </si>
  <si>
    <t>REC 24x36 / D24 / D29</t>
  </si>
  <si>
    <t>DMS / Futura</t>
  </si>
  <si>
    <t>REC 24x36 / D29 pcb 12</t>
  </si>
  <si>
    <t>Futura</t>
  </si>
  <si>
    <t>D29 pcb 6</t>
  </si>
  <si>
    <t>D24</t>
  </si>
  <si>
    <t>L5</t>
  </si>
  <si>
    <t>SLB</t>
  </si>
  <si>
    <t>SL01</t>
  </si>
  <si>
    <t>REC 24x29 / REC 24x34 / D26 / D28 / D32</t>
  </si>
  <si>
    <t>Gluten Free</t>
  </si>
  <si>
    <t>GF</t>
  </si>
  <si>
    <t>DMS</t>
  </si>
  <si>
    <t>D26</t>
  </si>
  <si>
    <t>GF PZR</t>
  </si>
  <si>
    <t>Etuyeuse</t>
  </si>
  <si>
    <t>REC 24x34</t>
  </si>
  <si>
    <t>GF PAT</t>
  </si>
  <si>
    <t>Flowpack / Guelt</t>
  </si>
  <si>
    <t>REC 24x29 / REC 24x34 / D28 / D32</t>
  </si>
  <si>
    <t>SL02</t>
  </si>
  <si>
    <t>REC 22x35 / REC 24x36 / REC 29x40</t>
  </si>
  <si>
    <t>Kit Pizza</t>
  </si>
  <si>
    <t>Kit PZR FP</t>
  </si>
  <si>
    <t xml:space="preserve"> EUROCRI / CIPAB</t>
  </si>
  <si>
    <t>REC 29x40</t>
  </si>
  <si>
    <t>PZR Etui</t>
  </si>
  <si>
    <t>CIPAB / CAMA</t>
  </si>
  <si>
    <t>FP - Kit PZR</t>
  </si>
  <si>
    <t>SL03</t>
  </si>
  <si>
    <t>REC 24x36 / REC 24x40 / REC 28x32 / REC 29x40 / D24 / D29 / D31</t>
  </si>
  <si>
    <t> CIPAB / CIEMME</t>
  </si>
  <si>
    <t>REC 24x40 / D29</t>
  </si>
  <si>
    <t> CIPAB / CIEMME (entrée)</t>
  </si>
  <si>
    <t>FP - Etui x 2</t>
  </si>
  <si>
    <t> CERMEX</t>
  </si>
  <si>
    <t>REC 24x36</t>
  </si>
  <si>
    <t> EUROCRI / CERMEX</t>
  </si>
  <si>
    <t>REC 24x40 / REC 29x40</t>
  </si>
  <si>
    <t>EUROCRI / CERMEX</t>
  </si>
  <si>
    <t>D31</t>
  </si>
  <si>
    <t>FP - Bounty</t>
  </si>
  <si>
    <t> Pétrin / Eurocri / Cermex</t>
  </si>
  <si>
    <t>REC 28x32 / REC 29x40</t>
  </si>
  <si>
    <t>FP - Tob XXL / Bounty XXL</t>
  </si>
  <si>
    <t>SL04</t>
  </si>
  <si>
    <t>REC 24x40 / REC 28x32 / REC 29x40 / D24 / D29 / D31</t>
  </si>
  <si>
    <t>EUROCRI / OTEM / GUELT</t>
  </si>
  <si>
    <t>EUROCRI / GUELT </t>
  </si>
  <si>
    <t>REC 24x40 / REC 28x32 / REC 29x40</t>
  </si>
  <si>
    <t>EUROCRI</t>
  </si>
  <si>
    <t> EUROCRI</t>
  </si>
  <si>
    <t>SL05</t>
  </si>
  <si>
    <t>EUROCRI / OTEM / CERMEX</t>
  </si>
  <si>
    <t>SL06</t>
  </si>
  <si>
    <t>SL07</t>
  </si>
  <si>
    <t>Presse</t>
  </si>
  <si>
    <t>REC 29x36 / D28</t>
  </si>
  <si>
    <t>Ultimate</t>
  </si>
  <si>
    <t>SL08</t>
  </si>
  <si>
    <t>SL10</t>
  </si>
  <si>
    <t>X6 B155 / X8 B190</t>
  </si>
  <si>
    <t>Boîte</t>
  </si>
  <si>
    <t>Brötchen</t>
  </si>
  <si>
    <t>Hexpacker / Arrivée Boites vides</t>
  </si>
  <si>
    <t>Sonntag</t>
  </si>
  <si>
    <t> Pétrin / Rademaker / Hexpacker / Arrivée Boites vides</t>
  </si>
  <si>
    <t>X6 B155</t>
  </si>
  <si>
    <t xml:space="preserve">Buttermilch </t>
  </si>
  <si>
    <t>Pétrin / Hexpacker / Arrivée Boites vides</t>
  </si>
  <si>
    <t xml:space="preserve">Merkörn/Dinkel </t>
  </si>
  <si>
    <t>SL11</t>
  </si>
  <si>
    <t>400 / 510 / 660</t>
  </si>
  <si>
    <t>Breakfast dough</t>
  </si>
  <si>
    <t> Rademaker / Botes Manu</t>
  </si>
  <si>
    <t>Croissant 240</t>
  </si>
  <si>
    <t xml:space="preserve">Croissant 340 </t>
  </si>
  <si>
    <t>Rademaker / Botes Manu / Etuyeuse</t>
  </si>
  <si>
    <t>Boîte - Kit</t>
  </si>
  <si>
    <t xml:space="preserve">Choco/Cannelle/Garlic </t>
  </si>
  <si>
    <t>SL12</t>
  </si>
  <si>
    <t>400 / 510 / 580 / 660</t>
  </si>
  <si>
    <t> Rademaker</t>
  </si>
  <si>
    <t>510 / 580</t>
  </si>
  <si>
    <t>Rademaker / CAMA / Wrappeuse</t>
  </si>
  <si>
    <t>SL13</t>
  </si>
  <si>
    <t>200 / 580 / 660</t>
  </si>
  <si>
    <t>Breakfast dough - Kit Pizza</t>
  </si>
  <si>
    <t>Rouleuse / TMS / OMV KIT</t>
  </si>
  <si>
    <t xml:space="preserve">Boîte - Kit PZR </t>
  </si>
  <si>
    <t>Kit PZR Boîte</t>
  </si>
  <si>
    <t>Rouleuse / TMS / EMB </t>
  </si>
  <si>
    <t>Rouleuse / TMS / EMB</t>
  </si>
  <si>
    <t>580 / 660</t>
  </si>
  <si>
    <t>HUM</t>
  </si>
  <si>
    <t>K1</t>
  </si>
  <si>
    <t>K2</t>
  </si>
  <si>
    <t>K3</t>
  </si>
  <si>
    <t>K4</t>
  </si>
  <si>
    <t>SOUS-TOTAL</t>
  </si>
  <si>
    <t>BU</t>
  </si>
  <si>
    <t>PAT Roulées</t>
  </si>
  <si>
    <t>FP + étui</t>
  </si>
  <si>
    <t>PAT à plat</t>
  </si>
  <si>
    <t>PZR Roulées</t>
  </si>
  <si>
    <t>PZR Ultimate</t>
  </si>
  <si>
    <t>PZR Boule</t>
  </si>
  <si>
    <t>Kit PZR</t>
  </si>
  <si>
    <t>CAN</t>
  </si>
  <si>
    <t>Breakfast</t>
  </si>
  <si>
    <t>Tartelette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</si>
</sst>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0.0%"/>
    <numFmt numFmtId="167" formatCode="_-* #,##0\ _€_-;\-* #,##0\ _€_-;_-* &quot;-&quot;??\ _€_-;_-@_-"/>
    <numFmt numFmtId="168" formatCode="#,##0_ ;\-#,##0\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7" borderId="12" xfId="0" applyFont="1" applyFill="1" applyBorder="1" applyAlignment="1">
      <alignment vertical="center" wrapText="1"/>
    </xf>
    <xf numFmtId="0" fontId="2" fillId="7" borderId="13" xfId="0" applyFont="1" applyFill="1" applyBorder="1" applyAlignment="1">
      <alignment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wrapText="1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wrapText="1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7" borderId="16" xfId="0" applyFont="1" applyFill="1" applyBorder="1" applyAlignment="1">
      <alignment vertical="center" wrapText="1"/>
    </xf>
    <xf numFmtId="0" fontId="2" fillId="7" borderId="17" xfId="0" applyFont="1" applyFill="1" applyBorder="1" applyAlignment="1">
      <alignment vertical="center" wrapText="1"/>
    </xf>
    <xf numFmtId="0" fontId="2" fillId="7" borderId="18" xfId="0" applyFont="1" applyFill="1" applyBorder="1" applyAlignment="1">
      <alignment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0" borderId="20" xfId="0" quotePrefix="1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19" xfId="0" applyFont="1" applyBorder="1" applyAlignment="1">
      <alignment horizontal="center" vertical="top"/>
    </xf>
    <xf numFmtId="0" fontId="2" fillId="2" borderId="22" xfId="0" applyFont="1" applyFill="1" applyBorder="1"/>
    <xf numFmtId="0" fontId="2" fillId="2" borderId="23" xfId="0" applyFont="1" applyFill="1" applyBorder="1"/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 applyProtection="1">
      <alignment horizontal="center"/>
      <protection locked="0"/>
    </xf>
    <xf numFmtId="0" fontId="0" fillId="2" borderId="25" xfId="0" applyFill="1" applyBorder="1" applyAlignment="1">
      <alignment horizontal="center"/>
    </xf>
    <xf numFmtId="164" fontId="0" fillId="2" borderId="26" xfId="0" applyNumberForma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4" fontId="0" fillId="2" borderId="28" xfId="0" applyNumberForma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22" xfId="0" applyFill="1" applyBorder="1"/>
    <xf numFmtId="0" fontId="0" fillId="2" borderId="23" xfId="0" applyFill="1" applyBorder="1"/>
    <xf numFmtId="0" fontId="0" fillId="2" borderId="29" xfId="0" applyFill="1" applyBorder="1"/>
    <xf numFmtId="165" fontId="0" fillId="4" borderId="27" xfId="1" applyNumberFormat="1" applyFont="1" applyFill="1" applyBorder="1" applyAlignment="1">
      <alignment horizontal="center"/>
    </xf>
    <xf numFmtId="165" fontId="0" fillId="4" borderId="23" xfId="1" applyNumberFormat="1" applyFont="1" applyFill="1" applyBorder="1" applyAlignment="1">
      <alignment horizontal="center"/>
    </xf>
    <xf numFmtId="165" fontId="0" fillId="4" borderId="29" xfId="1" applyNumberFormat="1" applyFont="1" applyFill="1" applyBorder="1" applyAlignment="1">
      <alignment horizontal="center"/>
    </xf>
    <xf numFmtId="165" fontId="0" fillId="4" borderId="22" xfId="1" applyNumberFormat="1" applyFont="1" applyFill="1" applyBorder="1" applyAlignment="1">
      <alignment horizontal="center"/>
    </xf>
    <xf numFmtId="166" fontId="0" fillId="5" borderId="30" xfId="0" applyNumberFormat="1" applyFill="1" applyBorder="1" applyAlignment="1">
      <alignment horizontal="center"/>
    </xf>
    <xf numFmtId="165" fontId="0" fillId="6" borderId="22" xfId="1" applyNumberFormat="1" applyFont="1" applyFill="1" applyBorder="1" applyAlignment="1">
      <alignment horizontal="center"/>
    </xf>
    <xf numFmtId="165" fontId="0" fillId="6" borderId="23" xfId="1" applyNumberFormat="1" applyFont="1" applyFill="1" applyBorder="1" applyAlignment="1">
      <alignment horizontal="center"/>
    </xf>
    <xf numFmtId="165" fontId="0" fillId="6" borderId="29" xfId="1" applyNumberFormat="1" applyFont="1" applyFill="1" applyBorder="1" applyAlignment="1">
      <alignment horizontal="center"/>
    </xf>
    <xf numFmtId="167" fontId="0" fillId="6" borderId="22" xfId="0" applyNumberFormat="1" applyFill="1" applyBorder="1" applyAlignment="1">
      <alignment horizontal="center"/>
    </xf>
    <xf numFmtId="167" fontId="0" fillId="6" borderId="23" xfId="0" applyNumberFormat="1" applyFill="1" applyBorder="1" applyAlignment="1">
      <alignment horizontal="center"/>
    </xf>
    <xf numFmtId="167" fontId="0" fillId="6" borderId="29" xfId="0" applyNumberFormat="1" applyFill="1" applyBorder="1" applyAlignment="1">
      <alignment horizontal="center"/>
    </xf>
    <xf numFmtId="0" fontId="2" fillId="0" borderId="30" xfId="0" applyFont="1" applyBorder="1" applyAlignment="1" applyProtection="1">
      <alignment horizontal="center"/>
      <protection locked="0"/>
    </xf>
    <xf numFmtId="168" fontId="2" fillId="7" borderId="31" xfId="1" applyNumberFormat="1" applyFont="1" applyFill="1" applyBorder="1" applyAlignment="1">
      <alignment horizontal="center"/>
    </xf>
    <xf numFmtId="168" fontId="2" fillId="7" borderId="32" xfId="1" applyNumberFormat="1" applyFont="1" applyFill="1" applyBorder="1" applyAlignment="1">
      <alignment horizontal="center"/>
    </xf>
    <xf numFmtId="168" fontId="2" fillId="7" borderId="33" xfId="1" applyNumberFormat="1" applyFont="1" applyFill="1" applyBorder="1" applyAlignment="1">
      <alignment horizontal="center"/>
    </xf>
    <xf numFmtId="9" fontId="2" fillId="7" borderId="33" xfId="2" applyFont="1" applyFill="1" applyBorder="1" applyAlignment="1">
      <alignment horizontal="center"/>
    </xf>
    <xf numFmtId="3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34" xfId="0" applyBorder="1"/>
    <xf numFmtId="0" fontId="0" fillId="0" borderId="35" xfId="0" applyBorder="1"/>
    <xf numFmtId="1" fontId="0" fillId="0" borderId="34" xfId="2" applyNumberFormat="1" applyFont="1" applyBorder="1"/>
    <xf numFmtId="1" fontId="0" fillId="0" borderId="0" xfId="2" applyNumberFormat="1" applyFont="1" applyBorder="1"/>
    <xf numFmtId="1" fontId="0" fillId="0" borderId="35" xfId="2" applyNumberFormat="1" applyFont="1" applyBorder="1"/>
    <xf numFmtId="9" fontId="0" fillId="0" borderId="34" xfId="2" applyFont="1" applyBorder="1"/>
    <xf numFmtId="9" fontId="0" fillId="0" borderId="0" xfId="2" applyFont="1" applyBorder="1"/>
    <xf numFmtId="9" fontId="0" fillId="0" borderId="35" xfId="2" applyFont="1" applyBorder="1"/>
    <xf numFmtId="1" fontId="0" fillId="0" borderId="34" xfId="0" applyNumberFormat="1" applyBorder="1"/>
    <xf numFmtId="1" fontId="0" fillId="0" borderId="0" xfId="0" applyNumberFormat="1"/>
    <xf numFmtId="1" fontId="0" fillId="0" borderId="35" xfId="0" applyNumberFormat="1" applyBorder="1"/>
    <xf numFmtId="1" fontId="0" fillId="0" borderId="36" xfId="0" applyNumberFormat="1" applyBorder="1"/>
    <xf numFmtId="0" fontId="2" fillId="2" borderId="37" xfId="0" applyFont="1" applyFill="1" applyBorder="1"/>
    <xf numFmtId="0" fontId="2" fillId="2" borderId="26" xfId="0" applyFont="1" applyFill="1" applyBorder="1"/>
    <xf numFmtId="0" fontId="0" fillId="2" borderId="26" xfId="0" applyFill="1" applyBorder="1" applyAlignment="1">
      <alignment horizontal="center"/>
    </xf>
    <xf numFmtId="0" fontId="0" fillId="2" borderId="38" xfId="0" applyFill="1" applyBorder="1" applyAlignment="1" applyProtection="1">
      <alignment horizontal="center"/>
      <protection locked="0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37" xfId="0" applyFill="1" applyBorder="1"/>
    <xf numFmtId="0" fontId="0" fillId="2" borderId="26" xfId="0" applyFill="1" applyBorder="1"/>
    <xf numFmtId="0" fontId="0" fillId="2" borderId="41" xfId="0" applyFill="1" applyBorder="1"/>
    <xf numFmtId="165" fontId="0" fillId="4" borderId="40" xfId="1" applyNumberFormat="1" applyFont="1" applyFill="1" applyBorder="1" applyAlignment="1">
      <alignment horizontal="center"/>
    </xf>
    <xf numFmtId="165" fontId="0" fillId="4" borderId="26" xfId="1" applyNumberFormat="1" applyFont="1" applyFill="1" applyBorder="1" applyAlignment="1">
      <alignment horizontal="center"/>
    </xf>
    <xf numFmtId="165" fontId="0" fillId="4" borderId="41" xfId="1" applyNumberFormat="1" applyFont="1" applyFill="1" applyBorder="1" applyAlignment="1">
      <alignment horizontal="center"/>
    </xf>
    <xf numFmtId="165" fontId="0" fillId="4" borderId="37" xfId="1" applyNumberFormat="1" applyFont="1" applyFill="1" applyBorder="1" applyAlignment="1">
      <alignment horizontal="center"/>
    </xf>
    <xf numFmtId="166" fontId="0" fillId="5" borderId="42" xfId="0" applyNumberFormat="1" applyFill="1" applyBorder="1" applyAlignment="1">
      <alignment horizontal="center"/>
    </xf>
    <xf numFmtId="165" fontId="0" fillId="6" borderId="37" xfId="1" applyNumberFormat="1" applyFont="1" applyFill="1" applyBorder="1" applyAlignment="1">
      <alignment horizontal="center"/>
    </xf>
    <xf numFmtId="165" fontId="0" fillId="6" borderId="26" xfId="1" applyNumberFormat="1" applyFont="1" applyFill="1" applyBorder="1" applyAlignment="1">
      <alignment horizontal="center"/>
    </xf>
    <xf numFmtId="165" fontId="0" fillId="6" borderId="41" xfId="1" applyNumberFormat="1" applyFont="1" applyFill="1" applyBorder="1" applyAlignment="1">
      <alignment horizontal="center"/>
    </xf>
    <xf numFmtId="167" fontId="0" fillId="6" borderId="37" xfId="0" applyNumberFormat="1" applyFill="1" applyBorder="1" applyAlignment="1">
      <alignment horizontal="center"/>
    </xf>
    <xf numFmtId="167" fontId="0" fillId="6" borderId="26" xfId="0" applyNumberFormat="1" applyFill="1" applyBorder="1" applyAlignment="1">
      <alignment horizontal="center"/>
    </xf>
    <xf numFmtId="167" fontId="0" fillId="6" borderId="41" xfId="0" applyNumberFormat="1" applyFill="1" applyBorder="1" applyAlignment="1">
      <alignment horizontal="center"/>
    </xf>
    <xf numFmtId="168" fontId="2" fillId="7" borderId="22" xfId="1" applyNumberFormat="1" applyFont="1" applyFill="1" applyBorder="1" applyAlignment="1">
      <alignment horizontal="center"/>
    </xf>
    <xf numFmtId="168" fontId="2" fillId="7" borderId="25" xfId="1" applyNumberFormat="1" applyFont="1" applyFill="1" applyBorder="1" applyAlignment="1">
      <alignment horizontal="center"/>
    </xf>
    <xf numFmtId="168" fontId="2" fillId="7" borderId="29" xfId="1" applyNumberFormat="1" applyFont="1" applyFill="1" applyBorder="1" applyAlignment="1">
      <alignment horizontal="center"/>
    </xf>
    <xf numFmtId="9" fontId="2" fillId="7" borderId="29" xfId="1" applyNumberFormat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9" fontId="2" fillId="7" borderId="29" xfId="2" applyFont="1" applyFill="1" applyBorder="1" applyAlignment="1">
      <alignment horizontal="center"/>
    </xf>
    <xf numFmtId="0" fontId="6" fillId="2" borderId="26" xfId="0" applyFont="1" applyFill="1" applyBorder="1"/>
    <xf numFmtId="164" fontId="0" fillId="2" borderId="40" xfId="0" applyNumberFormat="1" applyFill="1" applyBorder="1" applyAlignment="1">
      <alignment horizontal="center"/>
    </xf>
    <xf numFmtId="0" fontId="2" fillId="0" borderId="37" xfId="0" applyFont="1" applyBorder="1"/>
    <xf numFmtId="0" fontId="2" fillId="0" borderId="26" xfId="0" applyFont="1" applyBorder="1"/>
    <xf numFmtId="0" fontId="0" fillId="0" borderId="26" xfId="0" applyBorder="1" applyAlignment="1">
      <alignment horizontal="center"/>
    </xf>
    <xf numFmtId="0" fontId="0" fillId="0" borderId="38" xfId="0" applyBorder="1" applyAlignment="1" applyProtection="1">
      <alignment horizontal="center"/>
      <protection locked="0"/>
    </xf>
    <xf numFmtId="0" fontId="0" fillId="0" borderId="39" xfId="0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7" xfId="0" applyBorder="1"/>
    <xf numFmtId="0" fontId="0" fillId="0" borderId="26" xfId="0" applyBorder="1"/>
    <xf numFmtId="0" fontId="0" fillId="0" borderId="41" xfId="0" applyBorder="1"/>
    <xf numFmtId="165" fontId="0" fillId="0" borderId="40" xfId="1" applyNumberFormat="1" applyFont="1" applyFill="1" applyBorder="1" applyAlignment="1">
      <alignment horizontal="center"/>
    </xf>
    <xf numFmtId="165" fontId="0" fillId="0" borderId="26" xfId="1" applyNumberFormat="1" applyFont="1" applyFill="1" applyBorder="1" applyAlignment="1">
      <alignment horizontal="center"/>
    </xf>
    <xf numFmtId="165" fontId="0" fillId="0" borderId="41" xfId="1" applyNumberFormat="1" applyFont="1" applyFill="1" applyBorder="1" applyAlignment="1">
      <alignment horizontal="center"/>
    </xf>
    <xf numFmtId="165" fontId="0" fillId="0" borderId="37" xfId="1" applyNumberFormat="1" applyFont="1" applyFill="1" applyBorder="1" applyAlignment="1">
      <alignment horizontal="center"/>
    </xf>
    <xf numFmtId="166" fontId="0" fillId="0" borderId="42" xfId="0" applyNumberFormat="1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167" fontId="0" fillId="0" borderId="26" xfId="0" applyNumberFormat="1" applyBorder="1" applyAlignment="1">
      <alignment horizontal="center"/>
    </xf>
    <xf numFmtId="167" fontId="0" fillId="0" borderId="41" xfId="0" applyNumberFormat="1" applyBorder="1" applyAlignment="1">
      <alignment horizontal="center"/>
    </xf>
    <xf numFmtId="168" fontId="2" fillId="0" borderId="22" xfId="1" applyNumberFormat="1" applyFont="1" applyFill="1" applyBorder="1" applyAlignment="1">
      <alignment horizontal="center"/>
    </xf>
    <xf numFmtId="168" fontId="2" fillId="0" borderId="25" xfId="1" applyNumberFormat="1" applyFont="1" applyFill="1" applyBorder="1" applyAlignment="1">
      <alignment horizontal="center"/>
    </xf>
    <xf numFmtId="168" fontId="2" fillId="0" borderId="29" xfId="1" applyNumberFormat="1" applyFont="1" applyFill="1" applyBorder="1" applyAlignment="1">
      <alignment horizontal="center"/>
    </xf>
    <xf numFmtId="0" fontId="2" fillId="5" borderId="37" xfId="0" applyFont="1" applyFill="1" applyBorder="1"/>
    <xf numFmtId="0" fontId="2" fillId="5" borderId="26" xfId="0" applyFont="1" applyFill="1" applyBorder="1"/>
    <xf numFmtId="0" fontId="0" fillId="5" borderId="26" xfId="0" applyFill="1" applyBorder="1" applyAlignment="1">
      <alignment horizontal="center"/>
    </xf>
    <xf numFmtId="0" fontId="0" fillId="5" borderId="38" xfId="0" applyFill="1" applyBorder="1" applyAlignment="1" applyProtection="1">
      <alignment horizontal="center"/>
      <protection locked="0"/>
    </xf>
    <xf numFmtId="0" fontId="0" fillId="5" borderId="39" xfId="0" applyFill="1" applyBorder="1" applyAlignment="1">
      <alignment horizontal="center"/>
    </xf>
    <xf numFmtId="164" fontId="0" fillId="5" borderId="26" xfId="0" applyNumberFormat="1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164" fontId="0" fillId="5" borderId="28" xfId="0" applyNumberFormat="1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8" fontId="2" fillId="5" borderId="29" xfId="1" applyNumberFormat="1" applyFont="1" applyFill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0" fontId="2" fillId="2" borderId="43" xfId="0" applyFont="1" applyFill="1" applyBorder="1"/>
    <xf numFmtId="0" fontId="2" fillId="2" borderId="44" xfId="0" applyFont="1" applyFill="1" applyBorder="1"/>
    <xf numFmtId="0" fontId="0" fillId="2" borderId="44" xfId="0" applyFill="1" applyBorder="1" applyAlignment="1">
      <alignment horizontal="center"/>
    </xf>
    <xf numFmtId="0" fontId="0" fillId="2" borderId="45" xfId="0" applyFill="1" applyBorder="1" applyAlignment="1" applyProtection="1">
      <alignment horizontal="center"/>
      <protection locked="0"/>
    </xf>
    <xf numFmtId="0" fontId="0" fillId="2" borderId="46" xfId="0" applyFill="1" applyBorder="1" applyAlignment="1">
      <alignment horizontal="center"/>
    </xf>
    <xf numFmtId="164" fontId="0" fillId="2" borderId="44" xfId="0" applyNumberFormat="1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164" fontId="0" fillId="2" borderId="48" xfId="0" applyNumberFormat="1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43" xfId="0" applyFill="1" applyBorder="1"/>
    <xf numFmtId="0" fontId="0" fillId="2" borderId="44" xfId="0" applyFill="1" applyBorder="1"/>
    <xf numFmtId="0" fontId="0" fillId="2" borderId="49" xfId="0" applyFill="1" applyBorder="1"/>
    <xf numFmtId="165" fontId="0" fillId="4" borderId="47" xfId="1" applyNumberFormat="1" applyFont="1" applyFill="1" applyBorder="1" applyAlignment="1">
      <alignment horizontal="center"/>
    </xf>
    <xf numFmtId="165" fontId="0" fillId="4" borderId="44" xfId="1" applyNumberFormat="1" applyFont="1" applyFill="1" applyBorder="1" applyAlignment="1">
      <alignment horizontal="center"/>
    </xf>
    <xf numFmtId="165" fontId="0" fillId="4" borderId="49" xfId="1" applyNumberFormat="1" applyFont="1" applyFill="1" applyBorder="1" applyAlignment="1">
      <alignment horizontal="center"/>
    </xf>
    <xf numFmtId="165" fontId="0" fillId="4" borderId="43" xfId="1" applyNumberFormat="1" applyFont="1" applyFill="1" applyBorder="1" applyAlignment="1">
      <alignment horizontal="center"/>
    </xf>
    <xf numFmtId="166" fontId="0" fillId="0" borderId="50" xfId="0" applyNumberFormat="1" applyBorder="1" applyAlignment="1">
      <alignment horizontal="center"/>
    </xf>
    <xf numFmtId="165" fontId="0" fillId="6" borderId="43" xfId="1" applyNumberFormat="1" applyFont="1" applyFill="1" applyBorder="1" applyAlignment="1">
      <alignment horizontal="center"/>
    </xf>
    <xf numFmtId="165" fontId="0" fillId="6" borderId="44" xfId="1" applyNumberFormat="1" applyFont="1" applyFill="1" applyBorder="1" applyAlignment="1">
      <alignment horizontal="center"/>
    </xf>
    <xf numFmtId="165" fontId="0" fillId="6" borderId="49" xfId="1" applyNumberFormat="1" applyFont="1" applyFill="1" applyBorder="1" applyAlignment="1">
      <alignment horizontal="center"/>
    </xf>
    <xf numFmtId="167" fontId="0" fillId="6" borderId="43" xfId="0" applyNumberFormat="1" applyFill="1" applyBorder="1" applyAlignment="1">
      <alignment horizontal="center"/>
    </xf>
    <xf numFmtId="167" fontId="0" fillId="6" borderId="44" xfId="0" applyNumberFormat="1" applyFill="1" applyBorder="1" applyAlignment="1">
      <alignment horizontal="center"/>
    </xf>
    <xf numFmtId="167" fontId="0" fillId="6" borderId="49" xfId="0" applyNumberFormat="1" applyFill="1" applyBorder="1" applyAlignment="1">
      <alignment horizontal="center"/>
    </xf>
    <xf numFmtId="0" fontId="2" fillId="0" borderId="36" xfId="0" applyFont="1" applyBorder="1" applyAlignment="1" applyProtection="1">
      <alignment horizontal="center"/>
      <protection locked="0"/>
    </xf>
    <xf numFmtId="168" fontId="2" fillId="7" borderId="51" xfId="1" applyNumberFormat="1" applyFont="1" applyFill="1" applyBorder="1" applyAlignment="1">
      <alignment horizontal="center"/>
    </xf>
    <xf numFmtId="168" fontId="2" fillId="7" borderId="0" xfId="1" applyNumberFormat="1" applyFont="1" applyFill="1" applyBorder="1" applyAlignment="1">
      <alignment horizontal="center"/>
    </xf>
    <xf numFmtId="168" fontId="2" fillId="7" borderId="52" xfId="1" applyNumberFormat="1" applyFont="1" applyFill="1" applyBorder="1" applyAlignment="1">
      <alignment horizontal="center"/>
    </xf>
    <xf numFmtId="9" fontId="2" fillId="7" borderId="50" xfId="1" applyNumberFormat="1" applyFont="1" applyFill="1" applyBorder="1" applyAlignment="1">
      <alignment horizontal="center"/>
    </xf>
    <xf numFmtId="164" fontId="0" fillId="2" borderId="53" xfId="0" applyNumberFormat="1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2" fillId="0" borderId="42" xfId="0" applyFont="1" applyBorder="1" applyAlignment="1" applyProtection="1">
      <alignment horizontal="center"/>
      <protection locked="0"/>
    </xf>
    <xf numFmtId="168" fontId="2" fillId="7" borderId="37" xfId="1" applyNumberFormat="1" applyFont="1" applyFill="1" applyBorder="1" applyAlignment="1">
      <alignment horizontal="center"/>
    </xf>
    <xf numFmtId="168" fontId="2" fillId="7" borderId="39" xfId="1" applyNumberFormat="1" applyFont="1" applyFill="1" applyBorder="1" applyAlignment="1">
      <alignment horizontal="center"/>
    </xf>
    <xf numFmtId="168" fontId="2" fillId="7" borderId="41" xfId="1" applyNumberFormat="1" applyFont="1" applyFill="1" applyBorder="1" applyAlignment="1">
      <alignment horizontal="center"/>
    </xf>
    <xf numFmtId="166" fontId="0" fillId="5" borderId="50" xfId="0" applyNumberFormat="1" applyFill="1" applyBorder="1" applyAlignment="1">
      <alignment horizontal="center"/>
    </xf>
    <xf numFmtId="9" fontId="2" fillId="7" borderId="42" xfId="1" applyNumberFormat="1" applyFont="1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164" fontId="0" fillId="5" borderId="44" xfId="0" applyNumberFormat="1" applyFill="1" applyBorder="1" applyAlignment="1">
      <alignment horizontal="center"/>
    </xf>
    <xf numFmtId="164" fontId="0" fillId="5" borderId="48" xfId="0" applyNumberForma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43" xfId="0" applyFill="1" applyBorder="1"/>
    <xf numFmtId="0" fontId="0" fillId="5" borderId="44" xfId="0" applyFill="1" applyBorder="1"/>
    <xf numFmtId="0" fontId="0" fillId="5" borderId="49" xfId="0" applyFill="1" applyBorder="1"/>
    <xf numFmtId="165" fontId="0" fillId="5" borderId="47" xfId="1" applyNumberFormat="1" applyFont="1" applyFill="1" applyBorder="1" applyAlignment="1">
      <alignment horizontal="center"/>
    </xf>
    <xf numFmtId="165" fontId="0" fillId="5" borderId="44" xfId="1" applyNumberFormat="1" applyFont="1" applyFill="1" applyBorder="1" applyAlignment="1">
      <alignment horizontal="center"/>
    </xf>
    <xf numFmtId="165" fontId="0" fillId="5" borderId="49" xfId="1" applyNumberFormat="1" applyFont="1" applyFill="1" applyBorder="1" applyAlignment="1">
      <alignment horizontal="center"/>
    </xf>
    <xf numFmtId="165" fontId="0" fillId="5" borderId="43" xfId="1" applyNumberFormat="1" applyFont="1" applyFill="1" applyBorder="1" applyAlignment="1">
      <alignment horizontal="center"/>
    </xf>
    <xf numFmtId="167" fontId="0" fillId="5" borderId="43" xfId="0" applyNumberFormat="1" applyFill="1" applyBorder="1" applyAlignment="1">
      <alignment horizontal="center"/>
    </xf>
    <xf numFmtId="167" fontId="0" fillId="5" borderId="44" xfId="0" applyNumberFormat="1" applyFill="1" applyBorder="1" applyAlignment="1">
      <alignment horizontal="center"/>
    </xf>
    <xf numFmtId="167" fontId="0" fillId="5" borderId="49" xfId="0" applyNumberFormat="1" applyFill="1" applyBorder="1" applyAlignment="1">
      <alignment horizontal="center"/>
    </xf>
    <xf numFmtId="0" fontId="2" fillId="5" borderId="42" xfId="0" applyFont="1" applyFill="1" applyBorder="1" applyAlignment="1" applyProtection="1">
      <alignment horizontal="center"/>
      <protection locked="0"/>
    </xf>
    <xf numFmtId="168" fontId="2" fillId="5" borderId="37" xfId="1" applyNumberFormat="1" applyFont="1" applyFill="1" applyBorder="1" applyAlignment="1">
      <alignment horizontal="center"/>
    </xf>
    <xf numFmtId="168" fontId="2" fillId="5" borderId="39" xfId="1" applyNumberFormat="1" applyFont="1" applyFill="1" applyBorder="1" applyAlignment="1">
      <alignment horizontal="center"/>
    </xf>
    <xf numFmtId="168" fontId="2" fillId="5" borderId="41" xfId="1" applyNumberFormat="1" applyFont="1" applyFill="1" applyBorder="1" applyAlignment="1">
      <alignment horizontal="center"/>
    </xf>
    <xf numFmtId="9" fontId="2" fillId="5" borderId="38" xfId="1" applyNumberFormat="1" applyFont="1" applyFill="1" applyBorder="1" applyAlignment="1">
      <alignment horizontal="center"/>
    </xf>
    <xf numFmtId="0" fontId="2" fillId="2" borderId="54" xfId="0" applyFont="1" applyFill="1" applyBorder="1"/>
    <xf numFmtId="0" fontId="2" fillId="2" borderId="55" xfId="0" applyFont="1" applyFill="1" applyBorder="1"/>
    <xf numFmtId="0" fontId="0" fillId="2" borderId="55" xfId="0" applyFill="1" applyBorder="1" applyAlignment="1">
      <alignment horizontal="center"/>
    </xf>
    <xf numFmtId="0" fontId="0" fillId="2" borderId="56" xfId="0" applyFill="1" applyBorder="1" applyAlignment="1" applyProtection="1">
      <alignment horizontal="center"/>
      <protection locked="0"/>
    </xf>
    <xf numFmtId="0" fontId="0" fillId="2" borderId="57" xfId="0" applyFill="1" applyBorder="1" applyAlignment="1">
      <alignment horizontal="center"/>
    </xf>
    <xf numFmtId="164" fontId="0" fillId="2" borderId="55" xfId="0" applyNumberFormat="1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164" fontId="0" fillId="2" borderId="59" xfId="0" applyNumberFormat="1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54" xfId="0" applyFill="1" applyBorder="1"/>
    <xf numFmtId="0" fontId="0" fillId="2" borderId="55" xfId="0" applyFill="1" applyBorder="1"/>
    <xf numFmtId="0" fontId="0" fillId="2" borderId="60" xfId="0" applyFill="1" applyBorder="1"/>
    <xf numFmtId="165" fontId="0" fillId="4" borderId="58" xfId="1" applyNumberFormat="1" applyFont="1" applyFill="1" applyBorder="1" applyAlignment="1">
      <alignment horizontal="center"/>
    </xf>
    <xf numFmtId="165" fontId="0" fillId="4" borderId="55" xfId="1" applyNumberFormat="1" applyFont="1" applyFill="1" applyBorder="1" applyAlignment="1">
      <alignment horizontal="center"/>
    </xf>
    <xf numFmtId="165" fontId="0" fillId="4" borderId="60" xfId="1" applyNumberFormat="1" applyFont="1" applyFill="1" applyBorder="1" applyAlignment="1">
      <alignment horizontal="center"/>
    </xf>
    <xf numFmtId="165" fontId="0" fillId="4" borderId="54" xfId="1" applyNumberFormat="1" applyFont="1" applyFill="1" applyBorder="1" applyAlignment="1">
      <alignment horizontal="center"/>
    </xf>
    <xf numFmtId="166" fontId="0" fillId="0" borderId="61" xfId="0" applyNumberFormat="1" applyBorder="1" applyAlignment="1">
      <alignment horizontal="center"/>
    </xf>
    <xf numFmtId="165" fontId="0" fillId="6" borderId="54" xfId="1" applyNumberFormat="1" applyFont="1" applyFill="1" applyBorder="1" applyAlignment="1">
      <alignment horizontal="center"/>
    </xf>
    <xf numFmtId="165" fontId="0" fillId="6" borderId="55" xfId="1" applyNumberFormat="1" applyFont="1" applyFill="1" applyBorder="1" applyAlignment="1">
      <alignment horizontal="center"/>
    </xf>
    <xf numFmtId="165" fontId="0" fillId="6" borderId="60" xfId="1" applyNumberFormat="1" applyFont="1" applyFill="1" applyBorder="1" applyAlignment="1">
      <alignment horizontal="center"/>
    </xf>
    <xf numFmtId="167" fontId="0" fillId="6" borderId="54" xfId="0" applyNumberFormat="1" applyFill="1" applyBorder="1" applyAlignment="1">
      <alignment horizontal="center"/>
    </xf>
    <xf numFmtId="167" fontId="0" fillId="6" borderId="55" xfId="0" applyNumberFormat="1" applyFill="1" applyBorder="1" applyAlignment="1">
      <alignment horizontal="center"/>
    </xf>
    <xf numFmtId="167" fontId="0" fillId="6" borderId="60" xfId="0" applyNumberFormat="1" applyFill="1" applyBorder="1" applyAlignment="1">
      <alignment horizontal="center"/>
    </xf>
    <xf numFmtId="0" fontId="2" fillId="0" borderId="19" xfId="0" applyFont="1" applyBorder="1" applyAlignment="1" applyProtection="1">
      <alignment horizontal="center"/>
      <protection locked="0"/>
    </xf>
    <xf numFmtId="168" fontId="2" fillId="7" borderId="16" xfId="1" applyNumberFormat="1" applyFont="1" applyFill="1" applyBorder="1" applyAlignment="1">
      <alignment horizontal="center"/>
    </xf>
    <xf numFmtId="168" fontId="2" fillId="7" borderId="17" xfId="1" applyNumberFormat="1" applyFont="1" applyFill="1" applyBorder="1" applyAlignment="1">
      <alignment horizontal="center"/>
    </xf>
    <xf numFmtId="168" fontId="2" fillId="7" borderId="18" xfId="1" applyNumberFormat="1" applyFont="1" applyFill="1" applyBorder="1" applyAlignment="1">
      <alignment horizontal="center"/>
    </xf>
    <xf numFmtId="9" fontId="2" fillId="7" borderId="19" xfId="1" applyNumberFormat="1" applyFont="1" applyFill="1" applyBorder="1" applyAlignment="1">
      <alignment horizontal="center"/>
    </xf>
    <xf numFmtId="3" fontId="0" fillId="0" borderId="17" xfId="0" applyNumberFormat="1" applyBorder="1"/>
    <xf numFmtId="166" fontId="0" fillId="0" borderId="17" xfId="0" applyNumberFormat="1" applyBorder="1" applyAlignment="1">
      <alignment horizontal="center"/>
    </xf>
    <xf numFmtId="0" fontId="0" fillId="0" borderId="20" xfId="0" applyBorder="1"/>
    <xf numFmtId="0" fontId="0" fillId="0" borderId="17" xfId="0" applyBorder="1"/>
    <xf numFmtId="0" fontId="0" fillId="0" borderId="21" xfId="0" applyBorder="1"/>
    <xf numFmtId="1" fontId="0" fillId="0" borderId="20" xfId="2" applyNumberFormat="1" applyFont="1" applyBorder="1"/>
    <xf numFmtId="1" fontId="0" fillId="0" borderId="17" xfId="2" applyNumberFormat="1" applyFont="1" applyBorder="1"/>
    <xf numFmtId="9" fontId="0" fillId="0" borderId="20" xfId="2" applyFont="1" applyBorder="1"/>
    <xf numFmtId="9" fontId="0" fillId="0" borderId="17" xfId="2" applyFont="1" applyBorder="1"/>
    <xf numFmtId="9" fontId="0" fillId="0" borderId="21" xfId="2" applyFont="1" applyBorder="1"/>
    <xf numFmtId="1" fontId="0" fillId="0" borderId="20" xfId="0" applyNumberFormat="1" applyBorder="1"/>
    <xf numFmtId="1" fontId="0" fillId="0" borderId="17" xfId="0" applyNumberFormat="1" applyBorder="1"/>
    <xf numFmtId="1" fontId="0" fillId="0" borderId="21" xfId="0" applyNumberFormat="1" applyBorder="1"/>
    <xf numFmtId="1" fontId="0" fillId="0" borderId="19" xfId="0" applyNumberFormat="1" applyBorder="1"/>
    <xf numFmtId="0" fontId="0" fillId="0" borderId="0" xfId="0" applyAlignment="1">
      <alignment horizontal="center"/>
    </xf>
    <xf numFmtId="9" fontId="0" fillId="0" borderId="0" xfId="0" applyNumberFormat="1"/>
    <xf numFmtId="0" fontId="0" fillId="5" borderId="0" xfId="0" applyFill="1"/>
    <xf numFmtId="0" fontId="2" fillId="5" borderId="5" xfId="0" applyFont="1" applyFill="1" applyBorder="1"/>
    <xf numFmtId="0" fontId="2" fillId="5" borderId="17" xfId="0" applyFont="1" applyFill="1" applyBorder="1"/>
    <xf numFmtId="0" fontId="0" fillId="5" borderId="5" xfId="0" applyFill="1" applyBorder="1" applyAlignment="1">
      <alignment horizontal="center"/>
    </xf>
    <xf numFmtId="0" fontId="0" fillId="5" borderId="0" xfId="0" applyFill="1" applyAlignment="1" applyProtection="1">
      <alignment horizontal="center"/>
      <protection locked="0"/>
    </xf>
    <xf numFmtId="0" fontId="0" fillId="5" borderId="17" xfId="0" applyFill="1" applyBorder="1" applyAlignment="1">
      <alignment horizontal="center"/>
    </xf>
    <xf numFmtId="164" fontId="0" fillId="5" borderId="17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7" xfId="0" applyFill="1" applyBorder="1"/>
    <xf numFmtId="165" fontId="0" fillId="5" borderId="17" xfId="1" applyNumberFormat="1" applyFont="1" applyFill="1" applyBorder="1" applyAlignment="1">
      <alignment horizontal="center"/>
    </xf>
    <xf numFmtId="166" fontId="0" fillId="5" borderId="17" xfId="0" applyNumberFormat="1" applyFill="1" applyBorder="1" applyAlignment="1">
      <alignment horizontal="center"/>
    </xf>
    <xf numFmtId="167" fontId="0" fillId="5" borderId="17" xfId="0" applyNumberFormat="1" applyFill="1" applyBorder="1" applyAlignment="1">
      <alignment horizontal="center"/>
    </xf>
    <xf numFmtId="0" fontId="2" fillId="5" borderId="21" xfId="0" applyFont="1" applyFill="1" applyBorder="1" applyAlignment="1" applyProtection="1">
      <alignment horizontal="center"/>
      <protection locked="0"/>
    </xf>
    <xf numFmtId="168" fontId="2" fillId="5" borderId="16" xfId="1" applyNumberFormat="1" applyFont="1" applyFill="1" applyBorder="1" applyAlignment="1">
      <alignment horizontal="center"/>
    </xf>
    <xf numFmtId="168" fontId="2" fillId="5" borderId="17" xfId="1" applyNumberFormat="1" applyFont="1" applyFill="1" applyBorder="1" applyAlignment="1">
      <alignment horizontal="center"/>
    </xf>
    <xf numFmtId="168" fontId="2" fillId="5" borderId="18" xfId="1" applyNumberFormat="1" applyFont="1" applyFill="1" applyBorder="1" applyAlignment="1">
      <alignment horizontal="center"/>
    </xf>
    <xf numFmtId="9" fontId="2" fillId="5" borderId="0" xfId="1" applyNumberFormat="1" applyFont="1" applyFill="1" applyBorder="1" applyAlignment="1">
      <alignment horizontal="center"/>
    </xf>
    <xf numFmtId="3" fontId="0" fillId="5" borderId="0" xfId="0" applyNumberFormat="1" applyFill="1"/>
    <xf numFmtId="166" fontId="0" fillId="5" borderId="0" xfId="0" applyNumberFormat="1" applyFill="1" applyAlignment="1">
      <alignment horizontal="center"/>
    </xf>
    <xf numFmtId="0" fontId="0" fillId="5" borderId="5" xfId="0" applyFill="1" applyBorder="1"/>
    <xf numFmtId="1" fontId="0" fillId="5" borderId="5" xfId="2" applyNumberFormat="1" applyFont="1" applyFill="1" applyBorder="1"/>
    <xf numFmtId="1" fontId="0" fillId="5" borderId="0" xfId="2" applyNumberFormat="1" applyFont="1" applyFill="1" applyBorder="1"/>
    <xf numFmtId="9" fontId="0" fillId="5" borderId="5" xfId="2" applyFont="1" applyFill="1" applyBorder="1"/>
    <xf numFmtId="9" fontId="0" fillId="5" borderId="0" xfId="2" applyFont="1" applyFill="1" applyBorder="1"/>
    <xf numFmtId="1" fontId="0" fillId="5" borderId="5" xfId="0" applyNumberFormat="1" applyFill="1" applyBorder="1"/>
    <xf numFmtId="1" fontId="0" fillId="5" borderId="0" xfId="0" applyNumberFormat="1" applyFill="1"/>
    <xf numFmtId="0" fontId="2" fillId="8" borderId="4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0" fillId="2" borderId="15" xfId="0" applyFill="1" applyBorder="1"/>
    <xf numFmtId="0" fontId="0" fillId="2" borderId="5" xfId="0" applyFill="1" applyBorder="1"/>
    <xf numFmtId="0" fontId="0" fillId="2" borderId="17" xfId="0" applyFill="1" applyBorder="1"/>
    <xf numFmtId="0" fontId="0" fillId="2" borderId="6" xfId="0" applyFill="1" applyBorder="1"/>
    <xf numFmtId="168" fontId="2" fillId="8" borderId="54" xfId="1" applyNumberFormat="1" applyFont="1" applyFill="1" applyBorder="1" applyAlignment="1">
      <alignment horizontal="center"/>
    </xf>
    <xf numFmtId="168" fontId="2" fillId="8" borderId="60" xfId="1" applyNumberFormat="1" applyFont="1" applyFill="1" applyBorder="1" applyAlignment="1">
      <alignment horizontal="center"/>
    </xf>
    <xf numFmtId="168" fontId="2" fillId="0" borderId="7" xfId="1" applyNumberFormat="1" applyFont="1" applyFill="1" applyBorder="1" applyAlignment="1">
      <alignment horizontal="center"/>
    </xf>
    <xf numFmtId="166" fontId="2" fillId="8" borderId="4" xfId="2" applyNumberFormat="1" applyFont="1" applyFill="1" applyBorder="1" applyAlignment="1">
      <alignment horizontal="center"/>
    </xf>
    <xf numFmtId="9" fontId="2" fillId="0" borderId="7" xfId="2" applyFont="1" applyBorder="1"/>
    <xf numFmtId="9" fontId="2" fillId="0" borderId="8" xfId="2" applyFont="1" applyBorder="1"/>
    <xf numFmtId="9" fontId="2" fillId="0" borderId="9" xfId="2" applyFont="1" applyBorder="1"/>
    <xf numFmtId="168" fontId="2" fillId="0" borderId="11" xfId="1" applyNumberFormat="1" applyFont="1" applyFill="1" applyBorder="1" applyAlignment="1">
      <alignment horizontal="center"/>
    </xf>
    <xf numFmtId="165" fontId="0" fillId="0" borderId="0" xfId="1" applyNumberFormat="1" applyFont="1"/>
    <xf numFmtId="168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6" fontId="2" fillId="0" borderId="4" xfId="2" applyNumberFormat="1" applyFont="1" applyBorder="1" applyAlignment="1">
      <alignment horizontal="center"/>
    </xf>
    <xf numFmtId="166" fontId="2" fillId="0" borderId="5" xfId="2" applyNumberFormat="1" applyFont="1" applyBorder="1" applyAlignment="1">
      <alignment horizontal="center"/>
    </xf>
    <xf numFmtId="166" fontId="2" fillId="0" borderId="6" xfId="2" applyNumberFormat="1" applyFont="1" applyBorder="1" applyAlignment="1">
      <alignment horizontal="center"/>
    </xf>
    <xf numFmtId="0" fontId="2" fillId="0" borderId="31" xfId="0" applyFont="1" applyBorder="1"/>
    <xf numFmtId="0" fontId="2" fillId="0" borderId="62" xfId="0" applyFont="1" applyBorder="1"/>
    <xf numFmtId="0" fontId="0" fillId="2" borderId="63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4" xfId="0" applyFill="1" applyBorder="1"/>
    <xf numFmtId="0" fontId="0" fillId="2" borderId="0" xfId="0" applyFill="1"/>
    <xf numFmtId="0" fontId="0" fillId="2" borderId="35" xfId="0" applyFill="1" applyBorder="1"/>
    <xf numFmtId="0" fontId="2" fillId="0" borderId="43" xfId="0" applyFont="1" applyBorder="1"/>
    <xf numFmtId="0" fontId="2" fillId="0" borderId="44" xfId="0" applyFont="1" applyBorder="1"/>
    <xf numFmtId="168" fontId="2" fillId="7" borderId="43" xfId="1" applyNumberFormat="1" applyFont="1" applyFill="1" applyBorder="1" applyAlignment="1">
      <alignment horizontal="center"/>
    </xf>
    <xf numFmtId="168" fontId="2" fillId="7" borderId="49" xfId="1" applyNumberFormat="1" applyFont="1" applyFill="1" applyBorder="1" applyAlignment="1">
      <alignment horizontal="center"/>
    </xf>
    <xf numFmtId="0" fontId="2" fillId="0" borderId="54" xfId="0" applyFont="1" applyBorder="1"/>
    <xf numFmtId="0" fontId="2" fillId="0" borderId="55" xfId="0" applyFont="1" applyBorder="1"/>
    <xf numFmtId="0" fontId="0" fillId="2" borderId="65" xfId="0" applyFill="1" applyBorder="1"/>
    <xf numFmtId="0" fontId="0" fillId="2" borderId="21" xfId="0" applyFill="1" applyBorder="1"/>
    <xf numFmtId="168" fontId="2" fillId="7" borderId="54" xfId="1" applyNumberFormat="1" applyFont="1" applyFill="1" applyBorder="1" applyAlignment="1">
      <alignment horizontal="center"/>
    </xf>
    <xf numFmtId="168" fontId="2" fillId="7" borderId="60" xfId="1" applyNumberFormat="1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/>
    </xf>
    <xf numFmtId="0" fontId="2" fillId="8" borderId="66" xfId="0" applyFont="1" applyFill="1" applyBorder="1" applyAlignment="1">
      <alignment horizontal="center"/>
    </xf>
    <xf numFmtId="168" fontId="2" fillId="8" borderId="16" xfId="1" applyNumberFormat="1" applyFont="1" applyFill="1" applyBorder="1" applyAlignment="1">
      <alignment horizontal="center"/>
    </xf>
    <xf numFmtId="168" fontId="2" fillId="8" borderId="18" xfId="1" applyNumberFormat="1" applyFont="1" applyFill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</cellXfs>
  <cellStyles count="3">
    <cellStyle name="Milliers" xfId="1" builtinId="3"/>
    <cellStyle name="Normal" xfId="0" builtinId="0"/>
    <cellStyle name="Pourcentage" xfId="2" builtinId="5"/>
  </cellStyles>
  <dxfs count="8"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CED Pizza dough saturation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Saturation rate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8E-43D9-B14E-824C186F98C1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8E-43D9-B14E-824C186F98C1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8E-43D9-B14E-824C186F98C1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8E-43D9-B14E-824C186F98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8E-43D9-B14E-824C186F98C1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78E-43D9-B14E-824C186F98C1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78E-43D9-B14E-824C186F98C1}"/>
              </c:ext>
            </c:extLst>
          </c:dPt>
          <c:dPt>
            <c:idx val="7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78E-43D9-B14E-824C186F98C1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78E-43D9-B14E-824C186F98C1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78E-43D9-B14E-824C186F98C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78E-43D9-B14E-824C186F98C1}"/>
              </c:ext>
            </c:extLst>
          </c:dPt>
          <c:dPt>
            <c:idx val="11"/>
            <c:invertIfNegative val="0"/>
            <c:bubble3D val="0"/>
            <c:spPr>
              <a:solidFill>
                <a:srgbClr val="FF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78E-43D9-B14E-824C186F98C1}"/>
              </c:ext>
            </c:extLst>
          </c:dPt>
          <c:cat>
            <c:strRef>
              <c:f>'[1]Modèle taux saturation période'!$BL$3:$BW$3</c:f>
              <c:strCache>
                <c:ptCount val="12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</c:strCache>
            </c:strRef>
          </c:cat>
          <c:val>
            <c:numRef>
              <c:f>'[1]Modèle taux saturation période'!$BL$96:$BW$96</c:f>
              <c:numCache>
                <c:formatCode>0%</c:formatCode>
                <c:ptCount val="12"/>
                <c:pt idx="0">
                  <c:v>0.53296139290649847</c:v>
                </c:pt>
                <c:pt idx="1">
                  <c:v>0.65624381097331808</c:v>
                </c:pt>
                <c:pt idx="2">
                  <c:v>0.71037457472043253</c:v>
                </c:pt>
                <c:pt idx="3">
                  <c:v>0.65016538129478629</c:v>
                </c:pt>
                <c:pt idx="4">
                  <c:v>0.89561207852867553</c:v>
                </c:pt>
                <c:pt idx="5">
                  <c:v>0.90303599440875193</c:v>
                </c:pt>
                <c:pt idx="6">
                  <c:v>0.63264190735686632</c:v>
                </c:pt>
                <c:pt idx="7">
                  <c:v>0.7096844147934025</c:v>
                </c:pt>
                <c:pt idx="8">
                  <c:v>0.83791940894303962</c:v>
                </c:pt>
                <c:pt idx="9">
                  <c:v>0.58300932169561215</c:v>
                </c:pt>
                <c:pt idx="10">
                  <c:v>0.73119110181148239</c:v>
                </c:pt>
                <c:pt idx="11">
                  <c:v>0.68394211451736897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78E-43D9-B14E-824C186F9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82061743"/>
        <c:axId val="1907607279"/>
      </c:barChart>
      <c:catAx>
        <c:axId val="208206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7607279"/>
        <c:crosses val="autoZero"/>
        <c:auto val="1"/>
        <c:lblAlgn val="ctr"/>
        <c:lblOffset val="100"/>
        <c:noMultiLvlLbl val="0"/>
      </c:catAx>
      <c:valAx>
        <c:axId val="1907607279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206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551087</xdr:colOff>
      <xdr:row>98</xdr:row>
      <xdr:rowOff>176893</xdr:rowOff>
    </xdr:from>
    <xdr:to>
      <xdr:col>73</xdr:col>
      <xdr:colOff>136070</xdr:colOff>
      <xdr:row>119</xdr:row>
      <xdr:rowOff>95249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634DA10-2AAB-479E-ABB8-7F8E016CA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deme\AppData\Local\Microsoft\Olk\Attachments\ooa-fe598276-91f7-4bd8-95e6-a98565335258\17c25944600c753ff3f745c00b6cce167be146e8ea41355ae8349c49c4db57fc\Classeur1.xlsx" TargetMode="External"/><Relationship Id="rId1" Type="http://schemas.openxmlformats.org/officeDocument/2006/relationships/externalLinkPath" Target="file:///C:\Users\cdeme\AppData\Local\Microsoft\Olk\Attachments\ooa-fe598276-91f7-4bd8-95e6-a98565335258\17c25944600c753ff3f745c00b6cce167be146e8ea41355ae8349c49c4db57fc\Classeu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èle taux saturation période"/>
    </sheetNames>
    <sheetDataSet>
      <sheetData sheetId="0">
        <row r="3">
          <cell r="BL3" t="str">
            <v>P1</v>
          </cell>
          <cell r="BM3" t="str">
            <v>P2</v>
          </cell>
          <cell r="BN3" t="str">
            <v>P3</v>
          </cell>
          <cell r="BO3" t="str">
            <v>P4</v>
          </cell>
          <cell r="BP3" t="str">
            <v>P5</v>
          </cell>
          <cell r="BQ3" t="str">
            <v>P6</v>
          </cell>
          <cell r="BR3" t="str">
            <v>P7</v>
          </cell>
          <cell r="BS3" t="str">
            <v>P8</v>
          </cell>
          <cell r="BT3" t="str">
            <v>P9</v>
          </cell>
          <cell r="BU3" t="str">
            <v>P10</v>
          </cell>
          <cell r="BV3" t="str">
            <v>P11</v>
          </cell>
          <cell r="BW3" t="str">
            <v>P12</v>
          </cell>
        </row>
        <row r="96">
          <cell r="BL96">
            <v>0.53296139290649847</v>
          </cell>
          <cell r="BM96">
            <v>0.65624381097331808</v>
          </cell>
          <cell r="BN96">
            <v>0.71037457472043253</v>
          </cell>
          <cell r="BO96">
            <v>0.65016538129478629</v>
          </cell>
          <cell r="BP96">
            <v>0.89561207852867553</v>
          </cell>
          <cell r="BQ96">
            <v>0.90303599440875193</v>
          </cell>
          <cell r="BR96">
            <v>0.63264190735686632</v>
          </cell>
          <cell r="BS96">
            <v>0.7096844147934025</v>
          </cell>
          <cell r="BT96">
            <v>0.83791940894303962</v>
          </cell>
          <cell r="BU96">
            <v>0.58300932169561215</v>
          </cell>
          <cell r="BV96">
            <v>0.73119110181148239</v>
          </cell>
          <cell r="BW96">
            <v>0.68394211451736897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ARON, Laurent" id="{70F1C3CA-6DC9-4FEC-BDE7-1004BE586AD8}" userId="S::lcaron@cerelia.com::5e96dd79-26c4-4263-8e72-d986efeb3bb9" providerId="AD"/>
  <person displayName="SAVEL, Ludovic" id="{1D4BF4FB-13F8-4014-A6C2-BE0FC3FBC14A}" userId="S::lsavel@cerelia.com::67bbdcdb-51c5-4e4e-91c7-084e501d59b3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5-01-08T13:18:14.12" personId="{1D4BF4FB-13F8-4014-A6C2-BE0FC3FBC14A}" id="{A34BA5F1-23C6-4D91-A00D-3F68DF8335E8}">
    <text>Base scorecards</text>
  </threadedComment>
  <threadedComment ref="D4" dT="2025-09-17T15:40:52.06" personId="{1D4BF4FB-13F8-4014-A6C2-BE0FC3FBC14A}" id="{94C51397-BE66-4ECC-B642-AC518E2697B2}">
    <text>5220 en réel</text>
  </threadedComment>
  <threadedComment ref="D5" dT="2025-09-17T15:41:08.30" personId="{1D4BF4FB-13F8-4014-A6C2-BE0FC3FBC14A}" id="{CB681F75-45C6-4AA5-9249-5CC88AF01975}">
    <text>5220 en réel</text>
  </threadedComment>
  <threadedComment ref="D6" dT="2025-09-17T15:41:08.30" personId="{1D4BF4FB-13F8-4014-A6C2-BE0FC3FBC14A}" id="{2A55B97D-FC95-4322-B778-683467290C12}">
    <text>5220 en réel</text>
  </threadedComment>
  <threadedComment ref="D7" dT="2025-09-17T15:41:44.89" personId="{1D4BF4FB-13F8-4014-A6C2-BE0FC3FBC14A}" id="{6A0D6A3D-4ED9-4FE9-8E1D-35F313B26467}">
    <text>5220 en réel</text>
  </threadedComment>
  <threadedComment ref="D8" dT="2025-09-17T15:41:44.89" personId="{1D4BF4FB-13F8-4014-A6C2-BE0FC3FBC14A}" id="{1280E157-B1A7-4C15-BE0F-86DB8B36F8FA}">
    <text>5220 en réel</text>
  </threadedComment>
  <threadedComment ref="D9" dT="2025-09-17T15:42:36.24" personId="{1D4BF4FB-13F8-4014-A6C2-BE0FC3FBC14A}" id="{16048EA5-8EB2-4675-96C0-58338772E34E}">
    <text>5220 en réel</text>
  </threadedComment>
  <threadedComment ref="D10" dT="2025-09-17T15:43:15.79" personId="{1D4BF4FB-13F8-4014-A6C2-BE0FC3FBC14A}" id="{4970ADA9-8DD5-4940-AFCD-F3B396F61792}">
    <text>5040 en réel</text>
  </threadedComment>
  <threadedComment ref="D11" dT="2025-09-17T15:43:27.04" personId="{1D4BF4FB-13F8-4014-A6C2-BE0FC3FBC14A}" id="{D238996C-9C71-4F11-AB2A-6EFD1A5EF0A3}">
    <text>5160 en réel</text>
  </threadedComment>
  <threadedComment ref="D12" dT="2025-09-17T11:56:39.10" personId="{1D4BF4FB-13F8-4014-A6C2-BE0FC3FBC14A}" id="{804AD3BF-76E1-4068-BC1C-CA54761935E2}">
    <text>5160 en PCB14 et PCB28, 5040 en PCB10</text>
  </threadedComment>
  <threadedComment ref="D13" dT="2025-09-17T15:28:27.18" personId="{1D4BF4FB-13F8-4014-A6C2-BE0FC3FBC14A}" id="{82F3A20A-2B12-431A-AAF0-740ACC41DB35}">
    <text>16% de RECT / 84% de Ronde</text>
  </threadedComment>
  <threadedComment ref="D25" dT="2025-06-11T07:46:12.46" personId="{1D4BF4FB-13F8-4014-A6C2-BE0FC3FBC14A}" id="{AC0ABD0E-053E-48E5-86E2-91B7144E1B5C}">
    <text>4800 + 4500</text>
  </threadedComment>
  <threadedComment ref="AL65" dT="2025-03-19T14:30:02.19" personId="{70F1C3CA-6DC9-4FEC-BDE7-1004BE586AD8}" id="{8F901D3A-0604-44E6-BB7B-32E5ECCE16F7}">
    <text>Base 3*8 mais seulement 50% exploitable cause Ultimate</text>
  </threadedComment>
  <threadedComment ref="G67" dT="2025-09-17T09:49:55.44" personId="{1D4BF4FB-13F8-4014-A6C2-BE0FC3FBC14A}" id="{C51F426B-2266-45F3-BB7A-8FF7B3FE5B0C}">
    <text>Mix 300g et 500g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287F-7EA6-42E7-914F-4983DC0E7C41}">
  <dimension ref="A1:CW116"/>
  <sheetViews>
    <sheetView tabSelected="1" topLeftCell="A2" workbookViewId="0">
      <selection activeCell="G119" sqref="G119"/>
    </sheetView>
  </sheetViews>
  <sheetFormatPr baseColWidth="10" defaultRowHeight="14.5" outlineLevelRow="1" x14ac:dyDescent="0.35"/>
  <cols>
    <col min="1" max="1" width="3.81640625" bestFit="1" customWidth="1"/>
    <col min="2" max="2" width="16.26953125" bestFit="1" customWidth="1"/>
    <col min="3" max="3" width="18.1796875" bestFit="1" customWidth="1"/>
    <col min="4" max="4" width="11.7265625" customWidth="1"/>
    <col min="5" max="5" width="41.453125" customWidth="1"/>
    <col min="6" max="6" width="34.7265625" customWidth="1"/>
    <col min="7" max="7" width="21.54296875" customWidth="1"/>
    <col min="8" max="8" width="20.81640625" customWidth="1"/>
    <col min="9" max="9" width="17.54296875" customWidth="1"/>
    <col min="10" max="10" width="22.1796875" customWidth="1"/>
    <col min="11" max="13" width="12.81640625" customWidth="1"/>
    <col min="14" max="14" width="14.453125" customWidth="1"/>
    <col min="15" max="17" width="13.26953125" customWidth="1"/>
    <col min="18" max="22" width="14.453125" customWidth="1"/>
    <col min="23" max="23" width="13.1796875" customWidth="1"/>
    <col min="24" max="26" width="12.7265625" customWidth="1"/>
    <col min="27" max="27" width="14.453125" customWidth="1"/>
    <col min="28" max="30" width="12.7265625" customWidth="1"/>
    <col min="31" max="31" width="14.453125" customWidth="1"/>
    <col min="32" max="32" width="15.54296875" customWidth="1"/>
    <col min="33" max="33" width="26" customWidth="1"/>
    <col min="34" max="34" width="25.7265625" customWidth="1"/>
    <col min="35" max="35" width="24.81640625" style="261" customWidth="1"/>
    <col min="36" max="36" width="17.54296875" customWidth="1"/>
    <col min="37" max="37" width="14.1796875" customWidth="1"/>
    <col min="38" max="38" width="12.7265625" customWidth="1"/>
    <col min="39" max="39" width="15" customWidth="1"/>
    <col min="40" max="51" width="9.7265625" customWidth="1"/>
    <col min="52" max="63" width="11.453125" customWidth="1"/>
    <col min="100" max="100" width="18.453125" customWidth="1"/>
    <col min="101" max="101" width="18.81640625" customWidth="1"/>
  </cols>
  <sheetData>
    <row r="1" spans="1:101" ht="15" thickBot="1" x14ac:dyDescent="0.4">
      <c r="AZ1">
        <v>5</v>
      </c>
      <c r="BA1">
        <v>4</v>
      </c>
      <c r="BB1">
        <v>4</v>
      </c>
      <c r="BC1">
        <v>5</v>
      </c>
      <c r="BD1">
        <v>4</v>
      </c>
      <c r="BE1">
        <v>4</v>
      </c>
      <c r="BF1">
        <v>5</v>
      </c>
      <c r="BG1">
        <v>4</v>
      </c>
      <c r="BH1">
        <v>4</v>
      </c>
      <c r="BI1">
        <v>5</v>
      </c>
      <c r="BJ1">
        <v>4</v>
      </c>
      <c r="BK1">
        <v>4</v>
      </c>
      <c r="CK1" s="262"/>
    </row>
    <row r="2" spans="1:101" ht="68.5" customHeight="1" thickBot="1" x14ac:dyDescent="0.4">
      <c r="B2" s="1" t="s">
        <v>0</v>
      </c>
      <c r="C2" s="2"/>
      <c r="D2" s="2"/>
      <c r="E2" s="3"/>
      <c r="F2" s="4" t="s">
        <v>1</v>
      </c>
      <c r="G2" s="5"/>
      <c r="H2" s="6"/>
      <c r="I2" s="6"/>
      <c r="J2" s="7"/>
      <c r="K2" s="8" t="s">
        <v>2</v>
      </c>
      <c r="L2" s="9"/>
      <c r="M2" s="9"/>
      <c r="N2" s="10"/>
      <c r="O2" s="11" t="s">
        <v>3</v>
      </c>
      <c r="P2" s="12"/>
      <c r="Q2" s="12"/>
      <c r="R2" s="13"/>
      <c r="S2" s="14" t="s">
        <v>4</v>
      </c>
      <c r="T2" s="12"/>
      <c r="U2" s="12"/>
      <c r="V2" s="13"/>
      <c r="W2" s="15" t="s">
        <v>5</v>
      </c>
      <c r="X2" s="16" t="s">
        <v>6</v>
      </c>
      <c r="Y2" s="17"/>
      <c r="Z2" s="17"/>
      <c r="AA2" s="18"/>
      <c r="AB2" s="16" t="s">
        <v>7</v>
      </c>
      <c r="AC2" s="17"/>
      <c r="AD2" s="17"/>
      <c r="AE2" s="18"/>
      <c r="AF2" s="19" t="s">
        <v>8</v>
      </c>
      <c r="AG2" s="20" t="s">
        <v>9</v>
      </c>
      <c r="AH2" s="20" t="s">
        <v>10</v>
      </c>
      <c r="AI2" s="21" t="s">
        <v>11</v>
      </c>
      <c r="AJ2" s="22" t="s">
        <v>12</v>
      </c>
      <c r="AK2" s="23" t="s">
        <v>13</v>
      </c>
      <c r="AL2" s="24" t="s">
        <v>14</v>
      </c>
      <c r="AM2" s="24" t="s">
        <v>15</v>
      </c>
      <c r="AN2" s="25" t="s">
        <v>16</v>
      </c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7"/>
      <c r="AZ2" s="25" t="s">
        <v>17</v>
      </c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7"/>
      <c r="BL2" s="25" t="s">
        <v>18</v>
      </c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7"/>
      <c r="BX2" s="25" t="s">
        <v>19</v>
      </c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7"/>
      <c r="CJ2" s="25" t="s">
        <v>20</v>
      </c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7"/>
      <c r="CV2" s="28" t="s">
        <v>21</v>
      </c>
      <c r="CW2" s="28" t="s">
        <v>21</v>
      </c>
    </row>
    <row r="3" spans="1:101" ht="44" thickBot="1" x14ac:dyDescent="0.4">
      <c r="A3">
        <v>1</v>
      </c>
      <c r="B3" s="29" t="s">
        <v>22</v>
      </c>
      <c r="C3" s="30" t="s">
        <v>23</v>
      </c>
      <c r="D3" s="31" t="s">
        <v>24</v>
      </c>
      <c r="E3" s="32" t="s">
        <v>25</v>
      </c>
      <c r="F3" s="33" t="s">
        <v>26</v>
      </c>
      <c r="G3" s="34" t="s">
        <v>27</v>
      </c>
      <c r="H3" s="35" t="s">
        <v>28</v>
      </c>
      <c r="I3" s="36" t="s">
        <v>29</v>
      </c>
      <c r="J3" s="37" t="s">
        <v>30</v>
      </c>
      <c r="K3" s="38" t="s">
        <v>31</v>
      </c>
      <c r="L3" s="39" t="s">
        <v>32</v>
      </c>
      <c r="M3" s="39" t="s">
        <v>33</v>
      </c>
      <c r="N3" s="40" t="s">
        <v>34</v>
      </c>
      <c r="O3" s="41" t="s">
        <v>31</v>
      </c>
      <c r="P3" s="42" t="s">
        <v>32</v>
      </c>
      <c r="Q3" s="42" t="s">
        <v>33</v>
      </c>
      <c r="R3" s="43" t="s">
        <v>34</v>
      </c>
      <c r="S3" s="44" t="s">
        <v>31</v>
      </c>
      <c r="T3" s="42" t="s">
        <v>32</v>
      </c>
      <c r="U3" s="42" t="s">
        <v>33</v>
      </c>
      <c r="V3" s="43" t="s">
        <v>34</v>
      </c>
      <c r="W3" s="15" t="s">
        <v>35</v>
      </c>
      <c r="X3" s="45" t="s">
        <v>31</v>
      </c>
      <c r="Y3" s="46" t="s">
        <v>32</v>
      </c>
      <c r="Z3" s="46" t="s">
        <v>33</v>
      </c>
      <c r="AA3" s="47" t="s">
        <v>34</v>
      </c>
      <c r="AB3" s="45" t="s">
        <v>31</v>
      </c>
      <c r="AC3" s="46" t="s">
        <v>32</v>
      </c>
      <c r="AD3" s="46" t="s">
        <v>33</v>
      </c>
      <c r="AE3" s="47" t="s">
        <v>34</v>
      </c>
      <c r="AF3" s="48" t="s">
        <v>36</v>
      </c>
      <c r="AG3" s="49"/>
      <c r="AH3" s="50"/>
      <c r="AI3" s="51"/>
      <c r="AJ3" s="52"/>
      <c r="AK3" s="53"/>
      <c r="AL3" s="54"/>
      <c r="AM3" s="54"/>
      <c r="AN3" s="55" t="s">
        <v>37</v>
      </c>
      <c r="AO3" s="54" t="s">
        <v>38</v>
      </c>
      <c r="AP3" s="54" t="s">
        <v>39</v>
      </c>
      <c r="AQ3" s="54" t="s">
        <v>40</v>
      </c>
      <c r="AR3" s="54" t="s">
        <v>41</v>
      </c>
      <c r="AS3" s="54" t="s">
        <v>42</v>
      </c>
      <c r="AT3" s="54" t="s">
        <v>43</v>
      </c>
      <c r="AU3" s="54" t="s">
        <v>44</v>
      </c>
      <c r="AV3" s="54" t="s">
        <v>45</v>
      </c>
      <c r="AW3" s="54" t="s">
        <v>46</v>
      </c>
      <c r="AX3" s="54" t="s">
        <v>47</v>
      </c>
      <c r="AY3" s="56" t="s">
        <v>48</v>
      </c>
      <c r="AZ3" s="55" t="s">
        <v>37</v>
      </c>
      <c r="BA3" s="54" t="s">
        <v>38</v>
      </c>
      <c r="BB3" s="54" t="s">
        <v>39</v>
      </c>
      <c r="BC3" s="54" t="s">
        <v>40</v>
      </c>
      <c r="BD3" s="54" t="s">
        <v>41</v>
      </c>
      <c r="BE3" s="54" t="s">
        <v>42</v>
      </c>
      <c r="BF3" s="54" t="s">
        <v>43</v>
      </c>
      <c r="BG3" s="54" t="s">
        <v>44</v>
      </c>
      <c r="BH3" s="54" t="s">
        <v>45</v>
      </c>
      <c r="BI3" s="54" t="s">
        <v>46</v>
      </c>
      <c r="BJ3" s="54" t="s">
        <v>47</v>
      </c>
      <c r="BK3" s="56" t="s">
        <v>48</v>
      </c>
      <c r="BL3" s="55" t="s">
        <v>37</v>
      </c>
      <c r="BM3" s="54" t="s">
        <v>38</v>
      </c>
      <c r="BN3" s="54" t="s">
        <v>39</v>
      </c>
      <c r="BO3" s="54" t="s">
        <v>40</v>
      </c>
      <c r="BP3" s="54" t="s">
        <v>41</v>
      </c>
      <c r="BQ3" s="54" t="s">
        <v>42</v>
      </c>
      <c r="BR3" s="54" t="s">
        <v>43</v>
      </c>
      <c r="BS3" s="54" t="s">
        <v>44</v>
      </c>
      <c r="BT3" s="54" t="s">
        <v>45</v>
      </c>
      <c r="BU3" s="54" t="s">
        <v>46</v>
      </c>
      <c r="BV3" s="54" t="s">
        <v>47</v>
      </c>
      <c r="BW3" s="56" t="s">
        <v>48</v>
      </c>
      <c r="BX3" s="55" t="s">
        <v>37</v>
      </c>
      <c r="BY3" s="54" t="s">
        <v>38</v>
      </c>
      <c r="BZ3" s="54" t="s">
        <v>39</v>
      </c>
      <c r="CA3" s="54" t="s">
        <v>40</v>
      </c>
      <c r="CB3" s="54" t="s">
        <v>41</v>
      </c>
      <c r="CC3" s="54" t="s">
        <v>42</v>
      </c>
      <c r="CD3" s="54" t="s">
        <v>43</v>
      </c>
      <c r="CE3" s="54" t="s">
        <v>44</v>
      </c>
      <c r="CF3" s="54" t="s">
        <v>45</v>
      </c>
      <c r="CG3" s="54" t="s">
        <v>46</v>
      </c>
      <c r="CH3" s="54" t="s">
        <v>47</v>
      </c>
      <c r="CI3" s="56" t="s">
        <v>48</v>
      </c>
      <c r="CJ3" s="55" t="s">
        <v>37</v>
      </c>
      <c r="CK3" s="54" t="s">
        <v>38</v>
      </c>
      <c r="CL3" s="54" t="s">
        <v>39</v>
      </c>
      <c r="CM3" s="54" t="s">
        <v>40</v>
      </c>
      <c r="CN3" s="54" t="s">
        <v>41</v>
      </c>
      <c r="CO3" s="54" t="s">
        <v>42</v>
      </c>
      <c r="CP3" s="54" t="s">
        <v>43</v>
      </c>
      <c r="CQ3" s="54" t="s">
        <v>44</v>
      </c>
      <c r="CR3" s="54" t="s">
        <v>45</v>
      </c>
      <c r="CS3" s="54" t="s">
        <v>46</v>
      </c>
      <c r="CT3" s="54" t="s">
        <v>47</v>
      </c>
      <c r="CU3" s="56" t="s">
        <v>48</v>
      </c>
      <c r="CV3" s="57" t="s">
        <v>49</v>
      </c>
      <c r="CW3" s="57" t="s">
        <v>50</v>
      </c>
    </row>
    <row r="4" spans="1:101" x14ac:dyDescent="0.35">
      <c r="A4">
        <v>2</v>
      </c>
      <c r="B4" s="58" t="s">
        <v>51</v>
      </c>
      <c r="C4" s="59" t="s">
        <v>52</v>
      </c>
      <c r="D4" s="60">
        <v>5400</v>
      </c>
      <c r="E4" s="61" t="s">
        <v>53</v>
      </c>
      <c r="F4" s="62" t="s">
        <v>54</v>
      </c>
      <c r="G4" s="63">
        <v>0.26</v>
      </c>
      <c r="H4" s="64" t="s">
        <v>55</v>
      </c>
      <c r="I4" s="65" t="s">
        <v>56</v>
      </c>
      <c r="J4" s="66" t="s">
        <v>57</v>
      </c>
      <c r="K4" s="67">
        <f t="shared" ref="K4:K12" si="0">(10*8)-5</f>
        <v>75</v>
      </c>
      <c r="L4" s="68">
        <f t="shared" ref="L4:L12" si="1">(14.5*8)-2</f>
        <v>114</v>
      </c>
      <c r="M4" s="68">
        <f t="shared" ref="M4:M12" si="2">(14.5*8+2*12)-2</f>
        <v>138</v>
      </c>
      <c r="N4" s="69">
        <f t="shared" ref="N4:N12" si="3">((21-1.5)*8)-2</f>
        <v>154</v>
      </c>
      <c r="O4" s="70">
        <f>$D4*K4/1000</f>
        <v>405</v>
      </c>
      <c r="P4" s="71">
        <f t="shared" ref="P4:R21" si="4">$D4*L4/1000</f>
        <v>615.6</v>
      </c>
      <c r="Q4" s="71">
        <f t="shared" si="4"/>
        <v>745.2</v>
      </c>
      <c r="R4" s="72">
        <f t="shared" si="4"/>
        <v>831.6</v>
      </c>
      <c r="S4" s="73">
        <f>O4*$G4*52</f>
        <v>5475.5999999999995</v>
      </c>
      <c r="T4" s="71">
        <f t="shared" ref="T4:V21" si="5">P4*$G4*52</f>
        <v>8322.9120000000003</v>
      </c>
      <c r="U4" s="71">
        <f t="shared" si="5"/>
        <v>10075.104000000001</v>
      </c>
      <c r="V4" s="72">
        <f t="shared" si="5"/>
        <v>11243.232</v>
      </c>
      <c r="W4" s="74">
        <v>0.83499999999999996</v>
      </c>
      <c r="X4" s="75">
        <f>$W4*O4</f>
        <v>338.17500000000001</v>
      </c>
      <c r="Y4" s="76">
        <f t="shared" ref="Y4:AB21" si="6">$W4*P4</f>
        <v>514.02599999999995</v>
      </c>
      <c r="Z4" s="76">
        <f t="shared" si="6"/>
        <v>622.24199999999996</v>
      </c>
      <c r="AA4" s="77">
        <f t="shared" si="6"/>
        <v>694.38599999999997</v>
      </c>
      <c r="AB4" s="78">
        <f>$W4*S4</f>
        <v>4572.1259999999993</v>
      </c>
      <c r="AC4" s="79">
        <f t="shared" ref="AC4:AE21" si="7">$W4*T4</f>
        <v>6949.6315199999999</v>
      </c>
      <c r="AD4" s="79">
        <f t="shared" si="7"/>
        <v>8412.7118399999999</v>
      </c>
      <c r="AE4" s="80">
        <f t="shared" si="7"/>
        <v>9388.09872</v>
      </c>
      <c r="AF4" s="81" t="s">
        <v>32</v>
      </c>
      <c r="AG4" s="82">
        <f t="shared" ref="AG4:AG43" si="8">IF(AF4="",0,HLOOKUP(AF4,$X$3:$AA$84,A4,FALSE))*52</f>
        <v>26729.351999999999</v>
      </c>
      <c r="AH4" s="83">
        <f t="shared" ref="AH4:AH43" si="9">IF(AF4="",0,HLOOKUP(AF4,$X$3:$AA$84,A4,FALSE))*4.3</f>
        <v>2210.3117999999995</v>
      </c>
      <c r="AI4" s="84">
        <f t="shared" ref="AI4:AI34" si="10">IF(AF4="",0,HLOOKUP(AF4,$AB$3:$AE$84,A4,FALSE))</f>
        <v>6949.6315199999999</v>
      </c>
      <c r="AJ4" s="85">
        <v>0.75</v>
      </c>
      <c r="AK4" s="86">
        <f t="shared" ref="AK4:AK10" si="11">SUM(AN4:AY4)</f>
        <v>18934.534767172961</v>
      </c>
      <c r="AL4" s="87">
        <f t="shared" ref="AL4:AL10" si="12">AK4/AG4</f>
        <v>0.70837986521981389</v>
      </c>
      <c r="AM4" s="87">
        <f>AK4/(AG4*AJ4)</f>
        <v>0.94450648695975181</v>
      </c>
      <c r="AN4" s="88">
        <v>1598.0139398865053</v>
      </c>
      <c r="AO4">
        <v>1692.0857287370195</v>
      </c>
      <c r="AP4">
        <v>1547.7197199593718</v>
      </c>
      <c r="AQ4">
        <v>1653.3613723237429</v>
      </c>
      <c r="AR4">
        <v>1636.1166940820203</v>
      </c>
      <c r="AS4">
        <v>1805.3978693285396</v>
      </c>
      <c r="AT4">
        <v>1240.607866732111</v>
      </c>
      <c r="AU4">
        <v>1267.2941073526433</v>
      </c>
      <c r="AV4">
        <v>1584.3747853490261</v>
      </c>
      <c r="AW4">
        <v>1585.2880210478454</v>
      </c>
      <c r="AX4">
        <v>1713.0415062718362</v>
      </c>
      <c r="AY4" s="89">
        <v>1611.233156102302</v>
      </c>
      <c r="AZ4" s="90">
        <f t="shared" ref="AZ4:BK10" si="13">AZ$1*HLOOKUP($AF4,$X$3:$AA$84,$A4,FALSE)</f>
        <v>2570.1299999999997</v>
      </c>
      <c r="BA4" s="91">
        <f t="shared" si="13"/>
        <v>2056.1039999999998</v>
      </c>
      <c r="BB4" s="91">
        <f t="shared" si="13"/>
        <v>2056.1039999999998</v>
      </c>
      <c r="BC4" s="91">
        <f t="shared" si="13"/>
        <v>2570.1299999999997</v>
      </c>
      <c r="BD4" s="91">
        <f t="shared" si="13"/>
        <v>2056.1039999999998</v>
      </c>
      <c r="BE4" s="91">
        <f t="shared" si="13"/>
        <v>2056.1039999999998</v>
      </c>
      <c r="BF4" s="91">
        <f t="shared" si="13"/>
        <v>2570.1299999999997</v>
      </c>
      <c r="BG4" s="91">
        <f t="shared" si="13"/>
        <v>2056.1039999999998</v>
      </c>
      <c r="BH4" s="91">
        <f t="shared" si="13"/>
        <v>2056.1039999999998</v>
      </c>
      <c r="BI4" s="91">
        <f t="shared" si="13"/>
        <v>2570.1299999999997</v>
      </c>
      <c r="BJ4" s="91">
        <f t="shared" si="13"/>
        <v>2056.1039999999998</v>
      </c>
      <c r="BK4" s="92">
        <f t="shared" si="13"/>
        <v>2056.1039999999998</v>
      </c>
      <c r="BL4" s="93">
        <f>AN4/AZ4</f>
        <v>0.62176385625882957</v>
      </c>
      <c r="BM4" s="94">
        <f t="shared" ref="BM4:BW13" si="14">AO4/BA4</f>
        <v>0.82295726711149808</v>
      </c>
      <c r="BN4" s="94">
        <f t="shared" si="14"/>
        <v>0.75274388842168094</v>
      </c>
      <c r="BO4" s="94">
        <f t="shared" si="14"/>
        <v>0.64329873287489081</v>
      </c>
      <c r="BP4" s="94">
        <f t="shared" si="14"/>
        <v>0.79573635092486594</v>
      </c>
      <c r="BQ4" s="94">
        <f t="shared" si="14"/>
        <v>0.87806738828801456</v>
      </c>
      <c r="BR4" s="94">
        <f t="shared" si="14"/>
        <v>0.48270237954193412</v>
      </c>
      <c r="BS4" s="94">
        <f t="shared" si="14"/>
        <v>0.6163570069182509</v>
      </c>
      <c r="BT4" s="94">
        <f t="shared" si="14"/>
        <v>0.7705713258419935</v>
      </c>
      <c r="BU4" s="94">
        <f t="shared" si="14"/>
        <v>0.61681238732976373</v>
      </c>
      <c r="BV4" s="94">
        <f t="shared" si="14"/>
        <v>0.8331492503646879</v>
      </c>
      <c r="BW4" s="95">
        <f t="shared" si="14"/>
        <v>0.7836340749798173</v>
      </c>
      <c r="BX4" s="96">
        <f>AZ4-AN4</f>
        <v>972.11606011349431</v>
      </c>
      <c r="BY4" s="97">
        <f t="shared" ref="BY4:CI19" si="15">BA4-AO4</f>
        <v>364.01827126298031</v>
      </c>
      <c r="BZ4" s="97">
        <f t="shared" si="15"/>
        <v>508.38428004062803</v>
      </c>
      <c r="CA4" s="97">
        <f t="shared" si="15"/>
        <v>916.76862767625676</v>
      </c>
      <c r="CB4" s="97">
        <f t="shared" si="15"/>
        <v>419.98730591797948</v>
      </c>
      <c r="CC4" s="97">
        <f t="shared" si="15"/>
        <v>250.70613067146019</v>
      </c>
      <c r="CD4" s="97">
        <f t="shared" si="15"/>
        <v>1329.5221332678886</v>
      </c>
      <c r="CE4" s="97">
        <f t="shared" si="15"/>
        <v>788.80989264735649</v>
      </c>
      <c r="CF4" s="97">
        <f t="shared" si="15"/>
        <v>471.72921465097374</v>
      </c>
      <c r="CG4" s="97">
        <f t="shared" si="15"/>
        <v>984.84197895215425</v>
      </c>
      <c r="CH4" s="97">
        <f t="shared" si="15"/>
        <v>343.06249372816364</v>
      </c>
      <c r="CI4" s="98">
        <f t="shared" si="15"/>
        <v>444.8708438976978</v>
      </c>
      <c r="CJ4" s="96">
        <f>$AJ4*BX4</f>
        <v>729.08704508512074</v>
      </c>
      <c r="CK4" s="97">
        <f t="shared" ref="CK4:CU19" si="16">$AJ4*BY4</f>
        <v>273.01370344723523</v>
      </c>
      <c r="CL4" s="97">
        <f t="shared" si="16"/>
        <v>381.28821003047102</v>
      </c>
      <c r="CM4" s="97">
        <f t="shared" si="16"/>
        <v>687.57647075719251</v>
      </c>
      <c r="CN4" s="97">
        <f t="shared" si="16"/>
        <v>314.99047943848461</v>
      </c>
      <c r="CO4" s="97">
        <f t="shared" si="16"/>
        <v>188.02959800359514</v>
      </c>
      <c r="CP4" s="97">
        <f t="shared" si="16"/>
        <v>997.14159995091654</v>
      </c>
      <c r="CQ4" s="97">
        <f t="shared" si="16"/>
        <v>591.60741948551731</v>
      </c>
      <c r="CR4" s="97">
        <f t="shared" si="16"/>
        <v>353.79691098823031</v>
      </c>
      <c r="CS4" s="97">
        <f t="shared" si="16"/>
        <v>738.63148421411574</v>
      </c>
      <c r="CT4" s="97">
        <f t="shared" si="16"/>
        <v>257.29687029612273</v>
      </c>
      <c r="CU4" s="98">
        <f t="shared" si="16"/>
        <v>333.65313292327335</v>
      </c>
      <c r="CV4" s="99">
        <f>SUM(AZ4:BK4)*AJ4</f>
        <v>20047.013999999996</v>
      </c>
      <c r="CW4" s="99">
        <f>AI4*AJ4</f>
        <v>5212.2236400000002</v>
      </c>
    </row>
    <row r="5" spans="1:101" x14ac:dyDescent="0.35">
      <c r="A5">
        <v>3</v>
      </c>
      <c r="B5" s="100" t="s">
        <v>51</v>
      </c>
      <c r="C5" s="101" t="s">
        <v>58</v>
      </c>
      <c r="D5" s="102">
        <v>5280</v>
      </c>
      <c r="E5" s="103" t="s">
        <v>59</v>
      </c>
      <c r="F5" s="104" t="s">
        <v>60</v>
      </c>
      <c r="G5" s="63">
        <v>0.26</v>
      </c>
      <c r="H5" s="105" t="s">
        <v>61</v>
      </c>
      <c r="I5" s="65" t="s">
        <v>56</v>
      </c>
      <c r="J5" s="66" t="s">
        <v>57</v>
      </c>
      <c r="K5" s="106">
        <f t="shared" si="0"/>
        <v>75</v>
      </c>
      <c r="L5" s="107">
        <f t="shared" si="1"/>
        <v>114</v>
      </c>
      <c r="M5" s="107">
        <f t="shared" si="2"/>
        <v>138</v>
      </c>
      <c r="N5" s="108">
        <f t="shared" si="3"/>
        <v>154</v>
      </c>
      <c r="O5" s="109">
        <f t="shared" ref="O5:R84" si="17">$D5*K5/1000</f>
        <v>396</v>
      </c>
      <c r="P5" s="110">
        <f t="shared" si="4"/>
        <v>601.91999999999996</v>
      </c>
      <c r="Q5" s="110">
        <f t="shared" si="4"/>
        <v>728.64</v>
      </c>
      <c r="R5" s="111">
        <f t="shared" si="4"/>
        <v>813.12</v>
      </c>
      <c r="S5" s="112">
        <f t="shared" ref="S5:V84" si="18">O5*$G5*52</f>
        <v>5353.92</v>
      </c>
      <c r="T5" s="110">
        <f t="shared" si="5"/>
        <v>8137.9584000000004</v>
      </c>
      <c r="U5" s="110">
        <f t="shared" si="5"/>
        <v>9851.2128000000012</v>
      </c>
      <c r="V5" s="111">
        <f t="shared" si="5"/>
        <v>10993.3824</v>
      </c>
      <c r="W5" s="113">
        <v>0.78</v>
      </c>
      <c r="X5" s="114">
        <f t="shared" ref="X5:AE53" si="19">$W5*O5</f>
        <v>308.88</v>
      </c>
      <c r="Y5" s="115">
        <f t="shared" si="6"/>
        <v>469.49759999999998</v>
      </c>
      <c r="Z5" s="115">
        <f t="shared" si="6"/>
        <v>568.33920000000001</v>
      </c>
      <c r="AA5" s="116">
        <f t="shared" si="6"/>
        <v>634.23360000000002</v>
      </c>
      <c r="AB5" s="117">
        <f t="shared" si="6"/>
        <v>4176.0576000000001</v>
      </c>
      <c r="AC5" s="118">
        <f t="shared" si="7"/>
        <v>6347.6075520000004</v>
      </c>
      <c r="AD5" s="118">
        <f t="shared" si="7"/>
        <v>7683.9459840000009</v>
      </c>
      <c r="AE5" s="119">
        <f t="shared" si="7"/>
        <v>8574.8382720000009</v>
      </c>
      <c r="AF5" s="81" t="s">
        <v>32</v>
      </c>
      <c r="AG5" s="120">
        <f t="shared" si="8"/>
        <v>24413.875199999999</v>
      </c>
      <c r="AH5" s="121">
        <f t="shared" si="9"/>
        <v>2018.8396799999998</v>
      </c>
      <c r="AI5" s="122">
        <f t="shared" si="10"/>
        <v>6347.6075520000004</v>
      </c>
      <c r="AJ5" s="123">
        <v>0.75</v>
      </c>
      <c r="AK5" s="86">
        <f t="shared" si="11"/>
        <v>21059.011179953275</v>
      </c>
      <c r="AL5" s="87">
        <f t="shared" si="12"/>
        <v>0.86258371550753554</v>
      </c>
      <c r="AM5" s="87">
        <f t="shared" ref="AM5:AM67" si="20">AK5/(AG5*AJ5)</f>
        <v>1.1501116206767139</v>
      </c>
      <c r="AN5" s="88">
        <v>1570.1984431882017</v>
      </c>
      <c r="AO5">
        <v>1630.0698838073199</v>
      </c>
      <c r="AP5">
        <v>1698.8090702301974</v>
      </c>
      <c r="AQ5">
        <v>1714.8498359284447</v>
      </c>
      <c r="AR5">
        <v>2485.3038703943789</v>
      </c>
      <c r="AS5">
        <v>2114.8705486030294</v>
      </c>
      <c r="AT5">
        <v>1625.697288480322</v>
      </c>
      <c r="AU5">
        <v>1546.8161406444781</v>
      </c>
      <c r="AV5">
        <v>1787.6381001217264</v>
      </c>
      <c r="AW5">
        <v>1590.3665733584637</v>
      </c>
      <c r="AX5">
        <v>1681.5145582912494</v>
      </c>
      <c r="AY5" s="89">
        <v>1612.8768669054625</v>
      </c>
      <c r="AZ5" s="90">
        <f t="shared" si="13"/>
        <v>2347.4879999999998</v>
      </c>
      <c r="BA5" s="91">
        <f t="shared" si="13"/>
        <v>1877.9903999999999</v>
      </c>
      <c r="BB5" s="91">
        <f t="shared" si="13"/>
        <v>1877.9903999999999</v>
      </c>
      <c r="BC5" s="91">
        <f t="shared" si="13"/>
        <v>2347.4879999999998</v>
      </c>
      <c r="BD5" s="91">
        <f t="shared" si="13"/>
        <v>1877.9903999999999</v>
      </c>
      <c r="BE5" s="91">
        <f t="shared" si="13"/>
        <v>1877.9903999999999</v>
      </c>
      <c r="BF5" s="91">
        <f t="shared" si="13"/>
        <v>2347.4879999999998</v>
      </c>
      <c r="BG5" s="91">
        <f t="shared" si="13"/>
        <v>1877.9903999999999</v>
      </c>
      <c r="BH5" s="91">
        <f t="shared" si="13"/>
        <v>1877.9903999999999</v>
      </c>
      <c r="BI5" s="91">
        <f t="shared" si="13"/>
        <v>2347.4879999999998</v>
      </c>
      <c r="BJ5" s="91">
        <f t="shared" si="13"/>
        <v>1877.9903999999999</v>
      </c>
      <c r="BK5" s="92">
        <f t="shared" si="13"/>
        <v>1877.9903999999999</v>
      </c>
      <c r="BL5" s="93">
        <f t="shared" ref="BL5:BL13" si="21">AN5/AZ5</f>
        <v>0.66888454517688778</v>
      </c>
      <c r="BM5" s="94">
        <f t="shared" si="14"/>
        <v>0.86798627075373758</v>
      </c>
      <c r="BN5" s="94">
        <f t="shared" si="14"/>
        <v>0.90458879354771859</v>
      </c>
      <c r="BO5" s="94">
        <f t="shared" si="14"/>
        <v>0.73050419679608369</v>
      </c>
      <c r="BP5" s="94">
        <f t="shared" si="14"/>
        <v>1.3233847576613698</v>
      </c>
      <c r="BQ5" s="94">
        <f t="shared" si="14"/>
        <v>1.1261349092109467</v>
      </c>
      <c r="BR5" s="94">
        <f t="shared" si="14"/>
        <v>0.6925263466651681</v>
      </c>
      <c r="BS5" s="94">
        <f t="shared" si="14"/>
        <v>0.82365497749321726</v>
      </c>
      <c r="BT5" s="94">
        <f t="shared" si="14"/>
        <v>0.95188883826122139</v>
      </c>
      <c r="BU5" s="94">
        <f t="shared" si="14"/>
        <v>0.67747591185065215</v>
      </c>
      <c r="BV5" s="94">
        <f t="shared" si="14"/>
        <v>0.89537974118038599</v>
      </c>
      <c r="BW5" s="95">
        <f t="shared" si="14"/>
        <v>0.85883126287837397</v>
      </c>
      <c r="BX5" s="96">
        <f t="shared" ref="BX5:CI67" si="22">AZ5-AN5</f>
        <v>777.28955681179809</v>
      </c>
      <c r="BY5" s="97">
        <f t="shared" si="15"/>
        <v>247.92051619268</v>
      </c>
      <c r="BZ5" s="97">
        <f t="shared" si="15"/>
        <v>179.18132976980246</v>
      </c>
      <c r="CA5" s="97">
        <f t="shared" si="15"/>
        <v>632.63816407155514</v>
      </c>
      <c r="CB5" s="97">
        <f t="shared" si="15"/>
        <v>-607.31347039437901</v>
      </c>
      <c r="CC5" s="97">
        <f t="shared" si="15"/>
        <v>-236.88014860302951</v>
      </c>
      <c r="CD5" s="97">
        <f t="shared" si="15"/>
        <v>721.79071151967787</v>
      </c>
      <c r="CE5" s="97">
        <f t="shared" si="15"/>
        <v>331.17425935552183</v>
      </c>
      <c r="CF5" s="97">
        <f t="shared" si="15"/>
        <v>90.35229987827347</v>
      </c>
      <c r="CG5" s="97">
        <f t="shared" si="15"/>
        <v>757.12142664153612</v>
      </c>
      <c r="CH5" s="97">
        <f t="shared" si="15"/>
        <v>196.47584170875052</v>
      </c>
      <c r="CI5" s="98">
        <f t="shared" si="15"/>
        <v>265.11353309453739</v>
      </c>
      <c r="CJ5" s="96">
        <f t="shared" ref="CJ5:CU39" si="23">$AJ5*BX5</f>
        <v>582.96716760884851</v>
      </c>
      <c r="CK5" s="97">
        <f t="shared" si="16"/>
        <v>185.94038714451</v>
      </c>
      <c r="CL5" s="97">
        <f t="shared" si="16"/>
        <v>134.38599732735184</v>
      </c>
      <c r="CM5" s="97">
        <f t="shared" si="16"/>
        <v>474.47862305366635</v>
      </c>
      <c r="CN5" s="97">
        <f t="shared" si="16"/>
        <v>-455.48510279578426</v>
      </c>
      <c r="CO5" s="97">
        <f t="shared" si="16"/>
        <v>-177.66011145227213</v>
      </c>
      <c r="CP5" s="97">
        <f t="shared" si="16"/>
        <v>541.34303363975846</v>
      </c>
      <c r="CQ5" s="97">
        <f t="shared" si="16"/>
        <v>248.38069451664137</v>
      </c>
      <c r="CR5" s="97">
        <f t="shared" si="16"/>
        <v>67.764224908705103</v>
      </c>
      <c r="CS5" s="97">
        <f t="shared" si="16"/>
        <v>567.84106998115203</v>
      </c>
      <c r="CT5" s="97">
        <f t="shared" si="16"/>
        <v>147.35688128156289</v>
      </c>
      <c r="CU5" s="98">
        <f t="shared" si="16"/>
        <v>198.83514982090304</v>
      </c>
      <c r="CV5" s="99">
        <f t="shared" ref="CV5:CV68" si="24">SUM(AZ5:BK5)*AJ5</f>
        <v>18310.4064</v>
      </c>
      <c r="CW5" s="99">
        <f t="shared" ref="CW5:CW68" si="25">AI5*AJ5</f>
        <v>4760.7056640000001</v>
      </c>
    </row>
    <row r="6" spans="1:101" x14ac:dyDescent="0.35">
      <c r="A6">
        <v>4</v>
      </c>
      <c r="B6" s="100" t="s">
        <v>51</v>
      </c>
      <c r="C6" s="101" t="s">
        <v>62</v>
      </c>
      <c r="D6" s="102">
        <v>5280</v>
      </c>
      <c r="E6" s="103" t="s">
        <v>63</v>
      </c>
      <c r="F6" s="104" t="s">
        <v>60</v>
      </c>
      <c r="G6" s="63">
        <v>0.26</v>
      </c>
      <c r="H6" s="64" t="s">
        <v>55</v>
      </c>
      <c r="I6" s="65" t="s">
        <v>56</v>
      </c>
      <c r="J6" s="66" t="s">
        <v>56</v>
      </c>
      <c r="K6" s="106">
        <f t="shared" si="0"/>
        <v>75</v>
      </c>
      <c r="L6" s="107">
        <f t="shared" si="1"/>
        <v>114</v>
      </c>
      <c r="M6" s="107">
        <f t="shared" si="2"/>
        <v>138</v>
      </c>
      <c r="N6" s="108">
        <f t="shared" si="3"/>
        <v>154</v>
      </c>
      <c r="O6" s="109">
        <f t="shared" si="17"/>
        <v>396</v>
      </c>
      <c r="P6" s="110">
        <f t="shared" si="4"/>
        <v>601.91999999999996</v>
      </c>
      <c r="Q6" s="110">
        <f t="shared" si="4"/>
        <v>728.64</v>
      </c>
      <c r="R6" s="111">
        <f t="shared" si="4"/>
        <v>813.12</v>
      </c>
      <c r="S6" s="112">
        <f t="shared" si="18"/>
        <v>5353.92</v>
      </c>
      <c r="T6" s="110">
        <f t="shared" si="5"/>
        <v>8137.9584000000004</v>
      </c>
      <c r="U6" s="110">
        <f t="shared" si="5"/>
        <v>9851.2128000000012</v>
      </c>
      <c r="V6" s="111">
        <f t="shared" si="5"/>
        <v>10993.3824</v>
      </c>
      <c r="W6" s="113">
        <v>0.84499999999999997</v>
      </c>
      <c r="X6" s="114">
        <f t="shared" si="19"/>
        <v>334.62</v>
      </c>
      <c r="Y6" s="115">
        <f t="shared" si="6"/>
        <v>508.62239999999997</v>
      </c>
      <c r="Z6" s="115">
        <f t="shared" si="6"/>
        <v>615.70079999999996</v>
      </c>
      <c r="AA6" s="116">
        <f t="shared" si="6"/>
        <v>687.08640000000003</v>
      </c>
      <c r="AB6" s="117">
        <f t="shared" si="6"/>
        <v>4524.0623999999998</v>
      </c>
      <c r="AC6" s="118">
        <f t="shared" si="7"/>
        <v>6876.5748480000002</v>
      </c>
      <c r="AD6" s="118">
        <f t="shared" si="7"/>
        <v>8324.274816000001</v>
      </c>
      <c r="AE6" s="119">
        <f t="shared" si="7"/>
        <v>9289.4081280000009</v>
      </c>
      <c r="AF6" s="81" t="s">
        <v>32</v>
      </c>
      <c r="AG6" s="120">
        <f t="shared" si="8"/>
        <v>26448.364799999999</v>
      </c>
      <c r="AH6" s="121">
        <f t="shared" si="9"/>
        <v>2187.0763199999997</v>
      </c>
      <c r="AI6" s="122">
        <f t="shared" si="10"/>
        <v>6876.5748480000002</v>
      </c>
      <c r="AJ6" s="123">
        <v>0.75</v>
      </c>
      <c r="AK6" s="86">
        <f t="shared" si="11"/>
        <v>19575.674410026782</v>
      </c>
      <c r="AL6" s="87">
        <f t="shared" si="12"/>
        <v>0.74014686949670261</v>
      </c>
      <c r="AM6" s="87">
        <f t="shared" si="20"/>
        <v>0.98686249266227011</v>
      </c>
      <c r="AN6" s="88">
        <v>1369.3838606053037</v>
      </c>
      <c r="AO6">
        <v>1358.0865663401589</v>
      </c>
      <c r="AP6">
        <v>1716.9218818425368</v>
      </c>
      <c r="AQ6">
        <v>1642.2379729174006</v>
      </c>
      <c r="AR6">
        <v>2112.2963963970487</v>
      </c>
      <c r="AS6">
        <v>1930.6646846254978</v>
      </c>
      <c r="AT6">
        <v>2136.4009089618212</v>
      </c>
      <c r="AU6">
        <v>1492.8339664391503</v>
      </c>
      <c r="AV6">
        <v>1639.6075397801751</v>
      </c>
      <c r="AW6">
        <v>1407.4292784953507</v>
      </c>
      <c r="AX6">
        <v>1403.4450542140494</v>
      </c>
      <c r="AY6" s="89">
        <v>1366.3662994082899</v>
      </c>
      <c r="AZ6" s="90">
        <f t="shared" si="13"/>
        <v>2543.1120000000001</v>
      </c>
      <c r="BA6" s="91">
        <f t="shared" si="13"/>
        <v>2034.4895999999999</v>
      </c>
      <c r="BB6" s="91">
        <f t="shared" si="13"/>
        <v>2034.4895999999999</v>
      </c>
      <c r="BC6" s="91">
        <f t="shared" si="13"/>
        <v>2543.1120000000001</v>
      </c>
      <c r="BD6" s="91">
        <f t="shared" si="13"/>
        <v>2034.4895999999999</v>
      </c>
      <c r="BE6" s="91">
        <f t="shared" si="13"/>
        <v>2034.4895999999999</v>
      </c>
      <c r="BF6" s="91">
        <f t="shared" si="13"/>
        <v>2543.1120000000001</v>
      </c>
      <c r="BG6" s="91">
        <f t="shared" si="13"/>
        <v>2034.4895999999999</v>
      </c>
      <c r="BH6" s="91">
        <f t="shared" si="13"/>
        <v>2034.4895999999999</v>
      </c>
      <c r="BI6" s="91">
        <f t="shared" si="13"/>
        <v>2543.1120000000001</v>
      </c>
      <c r="BJ6" s="91">
        <f t="shared" si="13"/>
        <v>2034.4895999999999</v>
      </c>
      <c r="BK6" s="92">
        <f t="shared" si="13"/>
        <v>2034.4895999999999</v>
      </c>
      <c r="BL6" s="93">
        <f t="shared" si="21"/>
        <v>0.53846777515316024</v>
      </c>
      <c r="BM6" s="94">
        <f t="shared" si="14"/>
        <v>0.66753183026355067</v>
      </c>
      <c r="BN6" s="94">
        <f t="shared" si="14"/>
        <v>0.84390791766275774</v>
      </c>
      <c r="BO6" s="94">
        <f t="shared" si="14"/>
        <v>0.64575920089929206</v>
      </c>
      <c r="BP6" s="94">
        <f t="shared" si="14"/>
        <v>1.0382438899648585</v>
      </c>
      <c r="BQ6" s="94">
        <f t="shared" si="14"/>
        <v>0.94896758608424336</v>
      </c>
      <c r="BR6" s="94">
        <f t="shared" si="14"/>
        <v>0.84007346470065858</v>
      </c>
      <c r="BS6" s="94">
        <f t="shared" si="14"/>
        <v>0.73376338047594369</v>
      </c>
      <c r="BT6" s="94">
        <f t="shared" si="14"/>
        <v>0.8059060807094689</v>
      </c>
      <c r="BU6" s="94">
        <f t="shared" si="14"/>
        <v>0.55342795696585545</v>
      </c>
      <c r="BV6" s="94">
        <f t="shared" si="14"/>
        <v>0.68982660526455852</v>
      </c>
      <c r="BW6" s="95">
        <f t="shared" si="14"/>
        <v>0.67160151588304506</v>
      </c>
      <c r="BX6" s="96">
        <f t="shared" si="22"/>
        <v>1173.7281393946964</v>
      </c>
      <c r="BY6" s="97">
        <f t="shared" si="15"/>
        <v>676.40303365984096</v>
      </c>
      <c r="BZ6" s="97">
        <f t="shared" si="15"/>
        <v>317.5677181574631</v>
      </c>
      <c r="CA6" s="97">
        <f t="shared" si="15"/>
        <v>900.87402708259947</v>
      </c>
      <c r="CB6" s="97">
        <f t="shared" si="15"/>
        <v>-77.806796397048856</v>
      </c>
      <c r="CC6" s="97">
        <f t="shared" si="15"/>
        <v>103.8249153745021</v>
      </c>
      <c r="CD6" s="97">
        <f t="shared" si="15"/>
        <v>406.71109103817889</v>
      </c>
      <c r="CE6" s="97">
        <f t="shared" si="15"/>
        <v>541.65563356084954</v>
      </c>
      <c r="CF6" s="97">
        <f t="shared" si="15"/>
        <v>394.88206021982478</v>
      </c>
      <c r="CG6" s="97">
        <f t="shared" si="15"/>
        <v>1135.6827215046494</v>
      </c>
      <c r="CH6" s="97">
        <f t="shared" si="15"/>
        <v>631.0445457859505</v>
      </c>
      <c r="CI6" s="98">
        <f t="shared" si="15"/>
        <v>668.12330059170995</v>
      </c>
      <c r="CJ6" s="96">
        <f t="shared" si="23"/>
        <v>880.29610454602232</v>
      </c>
      <c r="CK6" s="97">
        <f t="shared" si="16"/>
        <v>507.30227524488072</v>
      </c>
      <c r="CL6" s="97">
        <f t="shared" si="16"/>
        <v>238.17578861809733</v>
      </c>
      <c r="CM6" s="97">
        <f t="shared" si="16"/>
        <v>675.65552031194966</v>
      </c>
      <c r="CN6" s="97">
        <f t="shared" si="16"/>
        <v>-58.355097297786642</v>
      </c>
      <c r="CO6" s="97">
        <f t="shared" si="16"/>
        <v>77.868686530876573</v>
      </c>
      <c r="CP6" s="97">
        <f t="shared" si="16"/>
        <v>305.03331827863417</v>
      </c>
      <c r="CQ6" s="97">
        <f t="shared" si="16"/>
        <v>406.24172517063715</v>
      </c>
      <c r="CR6" s="97">
        <f t="shared" si="16"/>
        <v>296.16154516486858</v>
      </c>
      <c r="CS6" s="97">
        <f t="shared" si="16"/>
        <v>851.762041128487</v>
      </c>
      <c r="CT6" s="97">
        <f t="shared" si="16"/>
        <v>473.28340933946288</v>
      </c>
      <c r="CU6" s="98">
        <f t="shared" si="16"/>
        <v>501.09247544378246</v>
      </c>
      <c r="CV6" s="99">
        <f t="shared" si="24"/>
        <v>19836.273600000004</v>
      </c>
      <c r="CW6" s="99">
        <f t="shared" si="25"/>
        <v>5157.4311360000002</v>
      </c>
    </row>
    <row r="7" spans="1:101" x14ac:dyDescent="0.35">
      <c r="A7">
        <v>5</v>
      </c>
      <c r="B7" s="100" t="s">
        <v>51</v>
      </c>
      <c r="C7" s="101" t="s">
        <v>64</v>
      </c>
      <c r="D7" s="102">
        <v>5400</v>
      </c>
      <c r="E7" s="103" t="s">
        <v>63</v>
      </c>
      <c r="F7" s="104" t="s">
        <v>65</v>
      </c>
      <c r="G7" s="63">
        <v>0.26</v>
      </c>
      <c r="H7" s="105" t="s">
        <v>61</v>
      </c>
      <c r="I7" s="65" t="s">
        <v>56</v>
      </c>
      <c r="J7" s="66" t="s">
        <v>56</v>
      </c>
      <c r="K7" s="106">
        <f t="shared" si="0"/>
        <v>75</v>
      </c>
      <c r="L7" s="107">
        <f t="shared" si="1"/>
        <v>114</v>
      </c>
      <c r="M7" s="107">
        <f t="shared" si="2"/>
        <v>138</v>
      </c>
      <c r="N7" s="108">
        <f t="shared" si="3"/>
        <v>154</v>
      </c>
      <c r="O7" s="109">
        <f t="shared" si="17"/>
        <v>405</v>
      </c>
      <c r="P7" s="110">
        <f t="shared" si="4"/>
        <v>615.6</v>
      </c>
      <c r="Q7" s="110">
        <f t="shared" si="4"/>
        <v>745.2</v>
      </c>
      <c r="R7" s="111">
        <f t="shared" si="4"/>
        <v>831.6</v>
      </c>
      <c r="S7" s="112">
        <f t="shared" si="18"/>
        <v>5475.5999999999995</v>
      </c>
      <c r="T7" s="110">
        <f t="shared" si="5"/>
        <v>8322.9120000000003</v>
      </c>
      <c r="U7" s="110">
        <f t="shared" si="5"/>
        <v>10075.104000000001</v>
      </c>
      <c r="V7" s="111">
        <f t="shared" si="5"/>
        <v>11243.232</v>
      </c>
      <c r="W7" s="113">
        <v>0.82</v>
      </c>
      <c r="X7" s="114">
        <f t="shared" si="19"/>
        <v>332.09999999999997</v>
      </c>
      <c r="Y7" s="115">
        <f t="shared" si="6"/>
        <v>504.79199999999997</v>
      </c>
      <c r="Z7" s="115">
        <f t="shared" si="6"/>
        <v>611.06399999999996</v>
      </c>
      <c r="AA7" s="116">
        <f t="shared" si="6"/>
        <v>681.91200000000003</v>
      </c>
      <c r="AB7" s="117">
        <f t="shared" si="6"/>
        <v>4489.9919999999993</v>
      </c>
      <c r="AC7" s="118">
        <f t="shared" si="7"/>
        <v>6824.78784</v>
      </c>
      <c r="AD7" s="118">
        <f t="shared" si="7"/>
        <v>8261.5852800000011</v>
      </c>
      <c r="AE7" s="119">
        <f t="shared" si="7"/>
        <v>9219.4502400000001</v>
      </c>
      <c r="AF7" s="81" t="s">
        <v>32</v>
      </c>
      <c r="AG7" s="120">
        <f t="shared" si="8"/>
        <v>26249.183999999997</v>
      </c>
      <c r="AH7" s="121">
        <f t="shared" si="9"/>
        <v>2170.6055999999999</v>
      </c>
      <c r="AI7" s="122">
        <f t="shared" si="10"/>
        <v>6824.78784</v>
      </c>
      <c r="AJ7" s="123">
        <v>0.75</v>
      </c>
      <c r="AK7" s="86">
        <f t="shared" si="11"/>
        <v>42134.664187474977</v>
      </c>
      <c r="AL7" s="87">
        <f t="shared" si="12"/>
        <v>1.605179962450451</v>
      </c>
      <c r="AM7" s="87">
        <f t="shared" si="20"/>
        <v>2.1402399499339348</v>
      </c>
      <c r="AN7" s="88">
        <v>3020.2974977087815</v>
      </c>
      <c r="AO7">
        <v>3243.1620109676724</v>
      </c>
      <c r="AP7">
        <v>3841.7056455398538</v>
      </c>
      <c r="AQ7">
        <v>3557.6481808679382</v>
      </c>
      <c r="AR7">
        <v>3999.5938125079542</v>
      </c>
      <c r="AS7">
        <v>3914.8064163006156</v>
      </c>
      <c r="AT7">
        <v>3687.7261219428892</v>
      </c>
      <c r="AU7">
        <v>3454.4328729336526</v>
      </c>
      <c r="AV7">
        <v>3713.1605024309779</v>
      </c>
      <c r="AW7">
        <v>3190.7224701173777</v>
      </c>
      <c r="AX7">
        <v>3372.8036922614933</v>
      </c>
      <c r="AY7" s="89">
        <v>3138.6049638957679</v>
      </c>
      <c r="AZ7" s="90">
        <f t="shared" si="13"/>
        <v>2523.96</v>
      </c>
      <c r="BA7" s="91">
        <f t="shared" si="13"/>
        <v>2019.1679999999999</v>
      </c>
      <c r="BB7" s="91">
        <f t="shared" si="13"/>
        <v>2019.1679999999999</v>
      </c>
      <c r="BC7" s="91">
        <f t="shared" si="13"/>
        <v>2523.96</v>
      </c>
      <c r="BD7" s="91">
        <f t="shared" si="13"/>
        <v>2019.1679999999999</v>
      </c>
      <c r="BE7" s="91">
        <f t="shared" si="13"/>
        <v>2019.1679999999999</v>
      </c>
      <c r="BF7" s="91">
        <f t="shared" si="13"/>
        <v>2523.96</v>
      </c>
      <c r="BG7" s="91">
        <f t="shared" si="13"/>
        <v>2019.1679999999999</v>
      </c>
      <c r="BH7" s="91">
        <f t="shared" si="13"/>
        <v>2019.1679999999999</v>
      </c>
      <c r="BI7" s="91">
        <f t="shared" si="13"/>
        <v>2523.96</v>
      </c>
      <c r="BJ7" s="91">
        <f t="shared" si="13"/>
        <v>2019.1679999999999</v>
      </c>
      <c r="BK7" s="92">
        <f t="shared" si="13"/>
        <v>2019.1679999999999</v>
      </c>
      <c r="BL7" s="93">
        <f t="shared" si="21"/>
        <v>1.1966503025835518</v>
      </c>
      <c r="BM7" s="94">
        <f t="shared" si="14"/>
        <v>1.6061873063398748</v>
      </c>
      <c r="BN7" s="94">
        <f t="shared" si="14"/>
        <v>1.9026181306061971</v>
      </c>
      <c r="BO7" s="94">
        <f t="shared" si="14"/>
        <v>1.4095501437692903</v>
      </c>
      <c r="BP7" s="94">
        <f t="shared" si="14"/>
        <v>1.9808127964131537</v>
      </c>
      <c r="BQ7" s="94">
        <f t="shared" si="14"/>
        <v>1.9388215424871114</v>
      </c>
      <c r="BR7" s="94">
        <f t="shared" si="14"/>
        <v>1.4610873872576782</v>
      </c>
      <c r="BS7" s="94">
        <f t="shared" si="14"/>
        <v>1.7108199381793159</v>
      </c>
      <c r="BT7" s="94">
        <f t="shared" si="14"/>
        <v>1.838955699788714</v>
      </c>
      <c r="BU7" s="94">
        <f t="shared" si="14"/>
        <v>1.2641731525528843</v>
      </c>
      <c r="BV7" s="94">
        <f t="shared" si="14"/>
        <v>1.6703928015209697</v>
      </c>
      <c r="BW7" s="95">
        <f t="shared" si="14"/>
        <v>1.554405063816269</v>
      </c>
      <c r="BX7" s="96">
        <f t="shared" si="22"/>
        <v>-496.33749770878148</v>
      </c>
      <c r="BY7" s="97">
        <f t="shared" si="15"/>
        <v>-1223.9940109676725</v>
      </c>
      <c r="BZ7" s="97">
        <f t="shared" si="15"/>
        <v>-1822.5376455398539</v>
      </c>
      <c r="CA7" s="97">
        <f t="shared" si="15"/>
        <v>-1033.6881808679382</v>
      </c>
      <c r="CB7" s="97">
        <f t="shared" si="15"/>
        <v>-1980.4258125079543</v>
      </c>
      <c r="CC7" s="97">
        <f t="shared" si="15"/>
        <v>-1895.6384163006157</v>
      </c>
      <c r="CD7" s="97">
        <f t="shared" si="15"/>
        <v>-1163.7661219428892</v>
      </c>
      <c r="CE7" s="97">
        <f t="shared" si="15"/>
        <v>-1435.2648729336527</v>
      </c>
      <c r="CF7" s="97">
        <f t="shared" si="15"/>
        <v>-1693.992502430978</v>
      </c>
      <c r="CG7" s="97">
        <f t="shared" si="15"/>
        <v>-666.76247011737769</v>
      </c>
      <c r="CH7" s="97">
        <f t="shared" si="15"/>
        <v>-1353.6356922614934</v>
      </c>
      <c r="CI7" s="98">
        <f t="shared" si="15"/>
        <v>-1119.436963895768</v>
      </c>
      <c r="CJ7" s="96">
        <f t="shared" si="23"/>
        <v>-372.25312328158611</v>
      </c>
      <c r="CK7" s="97">
        <f t="shared" si="16"/>
        <v>-917.99550822575429</v>
      </c>
      <c r="CL7" s="97">
        <f t="shared" si="16"/>
        <v>-1366.9032341548905</v>
      </c>
      <c r="CM7" s="97">
        <f t="shared" si="16"/>
        <v>-775.26613565095363</v>
      </c>
      <c r="CN7" s="97">
        <f t="shared" si="16"/>
        <v>-1485.3193593809658</v>
      </c>
      <c r="CO7" s="97">
        <f t="shared" si="16"/>
        <v>-1421.7288122254618</v>
      </c>
      <c r="CP7" s="97">
        <f t="shared" si="16"/>
        <v>-872.82459145716689</v>
      </c>
      <c r="CQ7" s="97">
        <f t="shared" si="16"/>
        <v>-1076.4486547002396</v>
      </c>
      <c r="CR7" s="97">
        <f t="shared" si="16"/>
        <v>-1270.4943768232336</v>
      </c>
      <c r="CS7" s="97">
        <f t="shared" si="16"/>
        <v>-500.07185258803327</v>
      </c>
      <c r="CT7" s="97">
        <f t="shared" si="16"/>
        <v>-1015.2267691961201</v>
      </c>
      <c r="CU7" s="98">
        <f t="shared" si="16"/>
        <v>-839.57772292182608</v>
      </c>
      <c r="CV7" s="99">
        <f t="shared" si="24"/>
        <v>19686.888000000003</v>
      </c>
      <c r="CW7" s="99">
        <f t="shared" si="25"/>
        <v>5118.5908799999997</v>
      </c>
    </row>
    <row r="8" spans="1:101" x14ac:dyDescent="0.35">
      <c r="A8">
        <v>6</v>
      </c>
      <c r="B8" s="100" t="s">
        <v>51</v>
      </c>
      <c r="C8" s="101" t="s">
        <v>66</v>
      </c>
      <c r="D8" s="102">
        <v>5400</v>
      </c>
      <c r="E8" s="103" t="s">
        <v>67</v>
      </c>
      <c r="F8" s="104" t="s">
        <v>60</v>
      </c>
      <c r="G8" s="63">
        <v>0.26</v>
      </c>
      <c r="H8" s="105" t="s">
        <v>68</v>
      </c>
      <c r="I8" s="65" t="s">
        <v>56</v>
      </c>
      <c r="J8" s="66" t="s">
        <v>69</v>
      </c>
      <c r="K8" s="106">
        <f t="shared" si="0"/>
        <v>75</v>
      </c>
      <c r="L8" s="107">
        <f t="shared" si="1"/>
        <v>114</v>
      </c>
      <c r="M8" s="107">
        <f t="shared" si="2"/>
        <v>138</v>
      </c>
      <c r="N8" s="108">
        <f t="shared" si="3"/>
        <v>154</v>
      </c>
      <c r="O8" s="109">
        <f t="shared" si="17"/>
        <v>405</v>
      </c>
      <c r="P8" s="110">
        <f t="shared" si="4"/>
        <v>615.6</v>
      </c>
      <c r="Q8" s="110">
        <f t="shared" si="4"/>
        <v>745.2</v>
      </c>
      <c r="R8" s="111">
        <f t="shared" si="4"/>
        <v>831.6</v>
      </c>
      <c r="S8" s="112">
        <f t="shared" si="18"/>
        <v>5475.5999999999995</v>
      </c>
      <c r="T8" s="110">
        <f t="shared" si="5"/>
        <v>8322.9120000000003</v>
      </c>
      <c r="U8" s="110">
        <f t="shared" si="5"/>
        <v>10075.104000000001</v>
      </c>
      <c r="V8" s="111">
        <f t="shared" si="5"/>
        <v>11243.232</v>
      </c>
      <c r="W8" s="113">
        <v>0.82</v>
      </c>
      <c r="X8" s="114">
        <f t="shared" si="19"/>
        <v>332.09999999999997</v>
      </c>
      <c r="Y8" s="115">
        <f t="shared" si="6"/>
        <v>504.79199999999997</v>
      </c>
      <c r="Z8" s="115">
        <f t="shared" si="6"/>
        <v>611.06399999999996</v>
      </c>
      <c r="AA8" s="116">
        <f t="shared" si="6"/>
        <v>681.91200000000003</v>
      </c>
      <c r="AB8" s="117">
        <f t="shared" si="6"/>
        <v>4489.9919999999993</v>
      </c>
      <c r="AC8" s="118">
        <f t="shared" si="7"/>
        <v>6824.78784</v>
      </c>
      <c r="AD8" s="118">
        <f t="shared" si="7"/>
        <v>8261.5852800000011</v>
      </c>
      <c r="AE8" s="119">
        <f t="shared" si="7"/>
        <v>9219.4502400000001</v>
      </c>
      <c r="AF8" s="81" t="s">
        <v>32</v>
      </c>
      <c r="AG8" s="120">
        <f t="shared" si="8"/>
        <v>26249.183999999997</v>
      </c>
      <c r="AH8" s="121">
        <f t="shared" si="9"/>
        <v>2170.6055999999999</v>
      </c>
      <c r="AI8" s="122">
        <f t="shared" si="10"/>
        <v>6824.78784</v>
      </c>
      <c r="AJ8" s="123">
        <v>0.75</v>
      </c>
      <c r="AK8" s="86">
        <f t="shared" si="11"/>
        <v>19759.352174189899</v>
      </c>
      <c r="AL8" s="87">
        <f t="shared" si="12"/>
        <v>0.75276062578516345</v>
      </c>
      <c r="AM8" s="87">
        <f t="shared" si="20"/>
        <v>1.0036808343802179</v>
      </c>
      <c r="AN8" s="88">
        <v>1390.9286583574326</v>
      </c>
      <c r="AO8">
        <v>1460.0120233975276</v>
      </c>
      <c r="AP8">
        <v>1462.6920031593779</v>
      </c>
      <c r="AQ8">
        <v>1491.4532631739692</v>
      </c>
      <c r="AR8">
        <v>761.87941889534591</v>
      </c>
      <c r="AS8">
        <v>2529.5160827236168</v>
      </c>
      <c r="AT8">
        <v>2310.543683042793</v>
      </c>
      <c r="AU8">
        <v>1459.4775986805396</v>
      </c>
      <c r="AV8">
        <v>1886.4357897936382</v>
      </c>
      <c r="AW8">
        <v>1640.2237944446754</v>
      </c>
      <c r="AX8">
        <v>1695.2909711798161</v>
      </c>
      <c r="AY8" s="89">
        <v>1670.8988873411663</v>
      </c>
      <c r="AZ8" s="90">
        <f t="shared" si="13"/>
        <v>2523.96</v>
      </c>
      <c r="BA8" s="91">
        <f t="shared" si="13"/>
        <v>2019.1679999999999</v>
      </c>
      <c r="BB8" s="91">
        <f t="shared" si="13"/>
        <v>2019.1679999999999</v>
      </c>
      <c r="BC8" s="91">
        <f t="shared" si="13"/>
        <v>2523.96</v>
      </c>
      <c r="BD8" s="91">
        <f t="shared" si="13"/>
        <v>2019.1679999999999</v>
      </c>
      <c r="BE8" s="91">
        <f t="shared" si="13"/>
        <v>2019.1679999999999</v>
      </c>
      <c r="BF8" s="91">
        <f t="shared" si="13"/>
        <v>2523.96</v>
      </c>
      <c r="BG8" s="91">
        <f t="shared" si="13"/>
        <v>2019.1679999999999</v>
      </c>
      <c r="BH8" s="91">
        <f t="shared" si="13"/>
        <v>2019.1679999999999</v>
      </c>
      <c r="BI8" s="91">
        <f t="shared" si="13"/>
        <v>2523.96</v>
      </c>
      <c r="BJ8" s="91">
        <f t="shared" si="13"/>
        <v>2019.1679999999999</v>
      </c>
      <c r="BK8" s="92">
        <f t="shared" si="13"/>
        <v>2019.1679999999999</v>
      </c>
      <c r="BL8" s="93">
        <f t="shared" si="21"/>
        <v>0.55108981852225569</v>
      </c>
      <c r="BM8" s="94">
        <f t="shared" si="14"/>
        <v>0.72307605082763182</v>
      </c>
      <c r="BN8" s="94">
        <f t="shared" si="14"/>
        <v>0.72440332015928244</v>
      </c>
      <c r="BO8" s="94">
        <f t="shared" si="14"/>
        <v>0.59091794765922168</v>
      </c>
      <c r="BP8" s="94">
        <f t="shared" si="14"/>
        <v>0.37732344158353637</v>
      </c>
      <c r="BQ8" s="94">
        <f t="shared" si="14"/>
        <v>1.252751669362637</v>
      </c>
      <c r="BR8" s="94">
        <f t="shared" si="14"/>
        <v>0.9154438592698747</v>
      </c>
      <c r="BS8" s="94">
        <f t="shared" si="14"/>
        <v>0.72281137512110916</v>
      </c>
      <c r="BT8" s="94">
        <f t="shared" si="14"/>
        <v>0.93426390958733407</v>
      </c>
      <c r="BU8" s="94">
        <f t="shared" si="14"/>
        <v>0.64986124758105335</v>
      </c>
      <c r="BV8" s="94">
        <f t="shared" si="14"/>
        <v>0.83959877096894175</v>
      </c>
      <c r="BW8" s="95">
        <f t="shared" si="14"/>
        <v>0.8275185063061451</v>
      </c>
      <c r="BX8" s="96">
        <f t="shared" si="22"/>
        <v>1133.0313416425674</v>
      </c>
      <c r="BY8" s="97">
        <f t="shared" si="15"/>
        <v>559.15597660247226</v>
      </c>
      <c r="BZ8" s="97">
        <f t="shared" si="15"/>
        <v>556.47599684062197</v>
      </c>
      <c r="CA8" s="97">
        <f t="shared" si="15"/>
        <v>1032.5067368260309</v>
      </c>
      <c r="CB8" s="97">
        <f t="shared" si="15"/>
        <v>1257.288581104654</v>
      </c>
      <c r="CC8" s="97">
        <f t="shared" si="15"/>
        <v>-510.34808272361693</v>
      </c>
      <c r="CD8" s="97">
        <f t="shared" si="15"/>
        <v>213.41631695720707</v>
      </c>
      <c r="CE8" s="97">
        <f t="shared" si="15"/>
        <v>559.69040131946031</v>
      </c>
      <c r="CF8" s="97">
        <f t="shared" si="15"/>
        <v>132.73221020636174</v>
      </c>
      <c r="CG8" s="97">
        <f t="shared" si="15"/>
        <v>883.73620555532466</v>
      </c>
      <c r="CH8" s="97">
        <f t="shared" si="15"/>
        <v>323.8770288201838</v>
      </c>
      <c r="CI8" s="98">
        <f t="shared" si="15"/>
        <v>348.26911265883359</v>
      </c>
      <c r="CJ8" s="96">
        <f t="shared" si="23"/>
        <v>849.77350623192558</v>
      </c>
      <c r="CK8" s="97">
        <f t="shared" si="16"/>
        <v>419.3669824518542</v>
      </c>
      <c r="CL8" s="97">
        <f t="shared" si="16"/>
        <v>417.35699763046648</v>
      </c>
      <c r="CM8" s="97">
        <f t="shared" si="16"/>
        <v>774.38005261952321</v>
      </c>
      <c r="CN8" s="97">
        <f t="shared" si="16"/>
        <v>942.96643582849049</v>
      </c>
      <c r="CO8" s="97">
        <f t="shared" si="16"/>
        <v>-382.76106204271269</v>
      </c>
      <c r="CP8" s="97">
        <f t="shared" si="16"/>
        <v>160.0622377179053</v>
      </c>
      <c r="CQ8" s="97">
        <f t="shared" si="16"/>
        <v>419.76780098959523</v>
      </c>
      <c r="CR8" s="97">
        <f t="shared" si="16"/>
        <v>99.549157654771307</v>
      </c>
      <c r="CS8" s="97">
        <f t="shared" si="16"/>
        <v>662.80215416649344</v>
      </c>
      <c r="CT8" s="97">
        <f t="shared" si="16"/>
        <v>242.90777161513785</v>
      </c>
      <c r="CU8" s="98">
        <f t="shared" si="16"/>
        <v>261.20183449412519</v>
      </c>
      <c r="CV8" s="99">
        <f t="shared" si="24"/>
        <v>19686.888000000003</v>
      </c>
      <c r="CW8" s="99">
        <f t="shared" si="25"/>
        <v>5118.5908799999997</v>
      </c>
    </row>
    <row r="9" spans="1:101" x14ac:dyDescent="0.35">
      <c r="A9">
        <v>7</v>
      </c>
      <c r="B9" s="100" t="s">
        <v>51</v>
      </c>
      <c r="C9" s="101" t="s">
        <v>70</v>
      </c>
      <c r="D9" s="102">
        <v>5160</v>
      </c>
      <c r="E9" s="103" t="s">
        <v>67</v>
      </c>
      <c r="F9" s="104" t="s">
        <v>60</v>
      </c>
      <c r="G9" s="63">
        <v>0.26</v>
      </c>
      <c r="H9" s="105" t="s">
        <v>61</v>
      </c>
      <c r="I9" s="65" t="s">
        <v>56</v>
      </c>
      <c r="J9" s="66" t="s">
        <v>56</v>
      </c>
      <c r="K9" s="106">
        <f t="shared" si="0"/>
        <v>75</v>
      </c>
      <c r="L9" s="107">
        <f t="shared" si="1"/>
        <v>114</v>
      </c>
      <c r="M9" s="107">
        <f t="shared" si="2"/>
        <v>138</v>
      </c>
      <c r="N9" s="108">
        <f t="shared" si="3"/>
        <v>154</v>
      </c>
      <c r="O9" s="109">
        <f t="shared" si="17"/>
        <v>387</v>
      </c>
      <c r="P9" s="110">
        <f t="shared" si="4"/>
        <v>588.24</v>
      </c>
      <c r="Q9" s="110">
        <f t="shared" si="4"/>
        <v>712.08</v>
      </c>
      <c r="R9" s="111">
        <f t="shared" si="4"/>
        <v>794.64</v>
      </c>
      <c r="S9" s="112">
        <f t="shared" si="18"/>
        <v>5232.24</v>
      </c>
      <c r="T9" s="110">
        <f t="shared" si="5"/>
        <v>7953.0048000000006</v>
      </c>
      <c r="U9" s="110">
        <f t="shared" si="5"/>
        <v>9627.3216000000011</v>
      </c>
      <c r="V9" s="111">
        <f t="shared" si="5"/>
        <v>10743.532800000001</v>
      </c>
      <c r="W9" s="113">
        <v>0.84499999999999997</v>
      </c>
      <c r="X9" s="114">
        <f t="shared" si="19"/>
        <v>327.01499999999999</v>
      </c>
      <c r="Y9" s="115">
        <f t="shared" si="6"/>
        <v>497.06279999999998</v>
      </c>
      <c r="Z9" s="115">
        <f t="shared" si="6"/>
        <v>601.70760000000007</v>
      </c>
      <c r="AA9" s="116">
        <f t="shared" si="6"/>
        <v>671.47079999999994</v>
      </c>
      <c r="AB9" s="117">
        <f t="shared" si="6"/>
        <v>4421.2428</v>
      </c>
      <c r="AC9" s="118">
        <f t="shared" si="7"/>
        <v>6720.2890560000005</v>
      </c>
      <c r="AD9" s="118">
        <f t="shared" si="7"/>
        <v>8135.0867520000011</v>
      </c>
      <c r="AE9" s="119">
        <f t="shared" si="7"/>
        <v>9078.2852160000002</v>
      </c>
      <c r="AF9" s="81" t="s">
        <v>32</v>
      </c>
      <c r="AG9" s="120">
        <f t="shared" si="8"/>
        <v>25847.265599999999</v>
      </c>
      <c r="AH9" s="121">
        <f t="shared" si="9"/>
        <v>2137.3700399999998</v>
      </c>
      <c r="AI9" s="122">
        <f t="shared" si="10"/>
        <v>6720.2890560000005</v>
      </c>
      <c r="AJ9" s="123">
        <v>0.75</v>
      </c>
      <c r="AK9" s="86">
        <f t="shared" si="11"/>
        <v>6021.4843999051564</v>
      </c>
      <c r="AL9" s="87">
        <f t="shared" si="12"/>
        <v>0.23296407802244104</v>
      </c>
      <c r="AM9" s="87">
        <f t="shared" si="20"/>
        <v>0.31061877069658805</v>
      </c>
      <c r="AN9" s="88">
        <v>515.24718273509689</v>
      </c>
      <c r="AO9">
        <v>500.77422266612882</v>
      </c>
      <c r="AP9">
        <v>595.10413653482908</v>
      </c>
      <c r="AQ9">
        <v>533.21960241308386</v>
      </c>
      <c r="AR9">
        <v>565.39440063144093</v>
      </c>
      <c r="AS9">
        <v>579.63304047173574</v>
      </c>
      <c r="AT9">
        <v>553.23603809966789</v>
      </c>
      <c r="AU9">
        <v>470.04927833412302</v>
      </c>
      <c r="AV9">
        <v>499.59482491526717</v>
      </c>
      <c r="AW9">
        <v>412.539970837748</v>
      </c>
      <c r="AX9">
        <v>409.54711191420392</v>
      </c>
      <c r="AY9" s="89">
        <v>387.14459035183103</v>
      </c>
      <c r="AZ9" s="90">
        <f t="shared" si="13"/>
        <v>2485.3139999999999</v>
      </c>
      <c r="BA9" s="91">
        <f t="shared" si="13"/>
        <v>1988.2511999999999</v>
      </c>
      <c r="BB9" s="91">
        <f t="shared" si="13"/>
        <v>1988.2511999999999</v>
      </c>
      <c r="BC9" s="91">
        <f t="shared" si="13"/>
        <v>2485.3139999999999</v>
      </c>
      <c r="BD9" s="91">
        <f t="shared" si="13"/>
        <v>1988.2511999999999</v>
      </c>
      <c r="BE9" s="91">
        <f t="shared" si="13"/>
        <v>1988.2511999999999</v>
      </c>
      <c r="BF9" s="91">
        <f t="shared" si="13"/>
        <v>2485.3139999999999</v>
      </c>
      <c r="BG9" s="91">
        <f t="shared" si="13"/>
        <v>1988.2511999999999</v>
      </c>
      <c r="BH9" s="91">
        <f t="shared" si="13"/>
        <v>1988.2511999999999</v>
      </c>
      <c r="BI9" s="91">
        <f t="shared" si="13"/>
        <v>2485.3139999999999</v>
      </c>
      <c r="BJ9" s="91">
        <f t="shared" si="13"/>
        <v>1988.2511999999999</v>
      </c>
      <c r="BK9" s="92">
        <f t="shared" si="13"/>
        <v>1988.2511999999999</v>
      </c>
      <c r="BL9" s="93">
        <f t="shared" si="21"/>
        <v>0.20731673451929894</v>
      </c>
      <c r="BM9" s="94">
        <f t="shared" si="14"/>
        <v>0.25186667694008125</v>
      </c>
      <c r="BN9" s="94">
        <f t="shared" si="14"/>
        <v>0.29931033691056197</v>
      </c>
      <c r="BO9" s="94">
        <f t="shared" si="14"/>
        <v>0.21454818281033458</v>
      </c>
      <c r="BP9" s="94">
        <f t="shared" si="14"/>
        <v>0.28436768987311106</v>
      </c>
      <c r="BQ9" s="94">
        <f t="shared" si="14"/>
        <v>0.29152907865552186</v>
      </c>
      <c r="BR9" s="94">
        <f t="shared" si="14"/>
        <v>0.22260206883301986</v>
      </c>
      <c r="BS9" s="94">
        <f t="shared" si="14"/>
        <v>0.23641342619791858</v>
      </c>
      <c r="BT9" s="94">
        <f t="shared" si="14"/>
        <v>0.25127349346766004</v>
      </c>
      <c r="BU9" s="94">
        <f t="shared" si="14"/>
        <v>0.16599108637288809</v>
      </c>
      <c r="BV9" s="94">
        <f t="shared" si="14"/>
        <v>0.20598358593431451</v>
      </c>
      <c r="BW9" s="95">
        <f t="shared" si="14"/>
        <v>0.19471613564313756</v>
      </c>
      <c r="BX9" s="96">
        <f t="shared" si="22"/>
        <v>1970.066817264903</v>
      </c>
      <c r="BY9" s="97">
        <f t="shared" si="15"/>
        <v>1487.4769773338712</v>
      </c>
      <c r="BZ9" s="97">
        <f t="shared" si="15"/>
        <v>1393.147063465171</v>
      </c>
      <c r="CA9" s="97">
        <f t="shared" si="15"/>
        <v>1952.0943975869159</v>
      </c>
      <c r="CB9" s="97">
        <f t="shared" si="15"/>
        <v>1422.856799368559</v>
      </c>
      <c r="CC9" s="97">
        <f t="shared" si="15"/>
        <v>1408.6181595282642</v>
      </c>
      <c r="CD9" s="97">
        <f t="shared" si="15"/>
        <v>1932.077961900332</v>
      </c>
      <c r="CE9" s="97">
        <f t="shared" si="15"/>
        <v>1518.2019216658769</v>
      </c>
      <c r="CF9" s="97">
        <f t="shared" si="15"/>
        <v>1488.6563750847326</v>
      </c>
      <c r="CG9" s="97">
        <f t="shared" si="15"/>
        <v>2072.7740291622517</v>
      </c>
      <c r="CH9" s="97">
        <f t="shared" si="15"/>
        <v>1578.704088085796</v>
      </c>
      <c r="CI9" s="98">
        <f t="shared" si="15"/>
        <v>1601.1066096481688</v>
      </c>
      <c r="CJ9" s="96">
        <f t="shared" si="23"/>
        <v>1477.5501129486772</v>
      </c>
      <c r="CK9" s="97">
        <f t="shared" si="16"/>
        <v>1115.6077330004034</v>
      </c>
      <c r="CL9" s="97">
        <f t="shared" si="16"/>
        <v>1044.8602975988783</v>
      </c>
      <c r="CM9" s="97">
        <f t="shared" si="16"/>
        <v>1464.0707981901869</v>
      </c>
      <c r="CN9" s="97">
        <f t="shared" si="16"/>
        <v>1067.1425995264192</v>
      </c>
      <c r="CO9" s="97">
        <f t="shared" si="16"/>
        <v>1056.4636196461981</v>
      </c>
      <c r="CP9" s="97">
        <f t="shared" si="16"/>
        <v>1449.0584714252491</v>
      </c>
      <c r="CQ9" s="97">
        <f t="shared" si="16"/>
        <v>1138.6514412494075</v>
      </c>
      <c r="CR9" s="97">
        <f t="shared" si="16"/>
        <v>1116.4922813135495</v>
      </c>
      <c r="CS9" s="97">
        <f t="shared" si="16"/>
        <v>1554.5805218716887</v>
      </c>
      <c r="CT9" s="97">
        <f t="shared" si="16"/>
        <v>1184.0280660643471</v>
      </c>
      <c r="CU9" s="98">
        <f t="shared" si="16"/>
        <v>1200.8299572361266</v>
      </c>
      <c r="CV9" s="99">
        <f t="shared" si="24"/>
        <v>19385.449199999995</v>
      </c>
      <c r="CW9" s="99">
        <f t="shared" si="25"/>
        <v>5040.2167920000002</v>
      </c>
    </row>
    <row r="10" spans="1:101" x14ac:dyDescent="0.35">
      <c r="A10">
        <v>8</v>
      </c>
      <c r="B10" s="100" t="s">
        <v>51</v>
      </c>
      <c r="C10" s="101" t="s">
        <v>71</v>
      </c>
      <c r="D10" s="102">
        <v>5280</v>
      </c>
      <c r="E10" s="103" t="s">
        <v>67</v>
      </c>
      <c r="F10" s="104" t="s">
        <v>60</v>
      </c>
      <c r="G10" s="63">
        <v>0.26</v>
      </c>
      <c r="H10" s="105" t="s">
        <v>68</v>
      </c>
      <c r="I10" s="65" t="s">
        <v>56</v>
      </c>
      <c r="J10" s="66" t="s">
        <v>69</v>
      </c>
      <c r="K10" s="106">
        <f t="shared" si="0"/>
        <v>75</v>
      </c>
      <c r="L10" s="107">
        <f t="shared" si="1"/>
        <v>114</v>
      </c>
      <c r="M10" s="107">
        <f t="shared" si="2"/>
        <v>138</v>
      </c>
      <c r="N10" s="108">
        <f t="shared" si="3"/>
        <v>154</v>
      </c>
      <c r="O10" s="109">
        <f t="shared" si="17"/>
        <v>396</v>
      </c>
      <c r="P10" s="110">
        <f t="shared" si="4"/>
        <v>601.91999999999996</v>
      </c>
      <c r="Q10" s="110">
        <f t="shared" si="4"/>
        <v>728.64</v>
      </c>
      <c r="R10" s="111">
        <f t="shared" si="4"/>
        <v>813.12</v>
      </c>
      <c r="S10" s="112">
        <f t="shared" si="18"/>
        <v>5353.92</v>
      </c>
      <c r="T10" s="110">
        <f t="shared" si="5"/>
        <v>8137.9584000000004</v>
      </c>
      <c r="U10" s="110">
        <f t="shared" si="5"/>
        <v>9851.2128000000012</v>
      </c>
      <c r="V10" s="111">
        <f t="shared" si="5"/>
        <v>10993.3824</v>
      </c>
      <c r="W10" s="113">
        <v>0.78500000000000003</v>
      </c>
      <c r="X10" s="114">
        <f t="shared" si="19"/>
        <v>310.86</v>
      </c>
      <c r="Y10" s="115">
        <f t="shared" si="6"/>
        <v>472.50720000000001</v>
      </c>
      <c r="Z10" s="115">
        <f t="shared" si="6"/>
        <v>571.98239999999998</v>
      </c>
      <c r="AA10" s="116">
        <f t="shared" si="6"/>
        <v>638.29920000000004</v>
      </c>
      <c r="AB10" s="117">
        <f t="shared" si="6"/>
        <v>4202.8272000000006</v>
      </c>
      <c r="AC10" s="118">
        <f t="shared" si="7"/>
        <v>6388.2973440000005</v>
      </c>
      <c r="AD10" s="118">
        <f t="shared" si="7"/>
        <v>7733.202048000001</v>
      </c>
      <c r="AE10" s="119">
        <f t="shared" si="7"/>
        <v>8629.8051840000007</v>
      </c>
      <c r="AF10" s="81" t="s">
        <v>32</v>
      </c>
      <c r="AG10" s="120">
        <f t="shared" si="8"/>
        <v>24570.374400000001</v>
      </c>
      <c r="AH10" s="121">
        <f t="shared" si="9"/>
        <v>2031.7809600000001</v>
      </c>
      <c r="AI10" s="122">
        <f t="shared" si="10"/>
        <v>6388.2973440000005</v>
      </c>
      <c r="AJ10" s="123">
        <v>0.75</v>
      </c>
      <c r="AK10" s="86">
        <f t="shared" si="11"/>
        <v>4541.6167949709361</v>
      </c>
      <c r="AL10" s="87">
        <f t="shared" si="12"/>
        <v>0.1848411717719261</v>
      </c>
      <c r="AM10" s="87">
        <f t="shared" si="20"/>
        <v>0.24645489569590148</v>
      </c>
      <c r="AN10" s="88">
        <v>324.7315963552</v>
      </c>
      <c r="AO10">
        <v>295.09658030000003</v>
      </c>
      <c r="AP10">
        <v>300.82624949199999</v>
      </c>
      <c r="AQ10">
        <v>474.77041232199997</v>
      </c>
      <c r="AR10">
        <v>1660.4963322452961</v>
      </c>
      <c r="AS10">
        <v>945.51829135719026</v>
      </c>
      <c r="AT10">
        <v>160.63158554325</v>
      </c>
      <c r="AU10">
        <v>92.42803557629999</v>
      </c>
      <c r="AV10">
        <v>48.198518890000003</v>
      </c>
      <c r="AW10">
        <v>131.54537316</v>
      </c>
      <c r="AX10">
        <v>44.926488089999999</v>
      </c>
      <c r="AY10" s="89">
        <v>62.447331639699996</v>
      </c>
      <c r="AZ10" s="90">
        <f t="shared" si="13"/>
        <v>2362.5360000000001</v>
      </c>
      <c r="BA10" s="91">
        <f t="shared" si="13"/>
        <v>1890.0288</v>
      </c>
      <c r="BB10" s="91">
        <f t="shared" si="13"/>
        <v>1890.0288</v>
      </c>
      <c r="BC10" s="91">
        <f t="shared" si="13"/>
        <v>2362.5360000000001</v>
      </c>
      <c r="BD10" s="91">
        <f t="shared" si="13"/>
        <v>1890.0288</v>
      </c>
      <c r="BE10" s="91">
        <f t="shared" si="13"/>
        <v>1890.0288</v>
      </c>
      <c r="BF10" s="91">
        <f t="shared" si="13"/>
        <v>2362.5360000000001</v>
      </c>
      <c r="BG10" s="91">
        <f t="shared" si="13"/>
        <v>1890.0288</v>
      </c>
      <c r="BH10" s="91">
        <f t="shared" si="13"/>
        <v>1890.0288</v>
      </c>
      <c r="BI10" s="91">
        <f t="shared" si="13"/>
        <v>2362.5360000000001</v>
      </c>
      <c r="BJ10" s="91">
        <f t="shared" si="13"/>
        <v>1890.0288</v>
      </c>
      <c r="BK10" s="92">
        <f t="shared" si="13"/>
        <v>1890.0288</v>
      </c>
      <c r="BL10" s="93">
        <f t="shared" si="21"/>
        <v>0.1374504330749669</v>
      </c>
      <c r="BM10" s="94">
        <f t="shared" si="14"/>
        <v>0.15613337759720911</v>
      </c>
      <c r="BN10" s="94">
        <f t="shared" si="14"/>
        <v>0.15916490240360356</v>
      </c>
      <c r="BO10" s="94">
        <f t="shared" si="14"/>
        <v>0.20095795887216109</v>
      </c>
      <c r="BP10" s="94">
        <f t="shared" si="14"/>
        <v>0.87855610043894361</v>
      </c>
      <c r="BQ10" s="94">
        <f t="shared" si="14"/>
        <v>0.50026660512114429</v>
      </c>
      <c r="BR10" s="94">
        <f t="shared" si="14"/>
        <v>6.7991169465036722E-2</v>
      </c>
      <c r="BS10" s="94">
        <f t="shared" si="14"/>
        <v>4.8902977338916735E-2</v>
      </c>
      <c r="BT10" s="94">
        <f t="shared" si="14"/>
        <v>2.5501473252682712E-2</v>
      </c>
      <c r="BU10" s="94">
        <f t="shared" si="14"/>
        <v>5.5679732778675113E-2</v>
      </c>
      <c r="BV10" s="94">
        <f t="shared" si="14"/>
        <v>2.3770266405464296E-2</v>
      </c>
      <c r="BW10" s="95">
        <f t="shared" si="14"/>
        <v>3.3040412738525461E-2</v>
      </c>
      <c r="BX10" s="96">
        <f t="shared" si="22"/>
        <v>2037.8044036448</v>
      </c>
      <c r="BY10" s="97">
        <f t="shared" si="15"/>
        <v>1594.9322197000001</v>
      </c>
      <c r="BZ10" s="97">
        <f t="shared" si="15"/>
        <v>1589.2025505080001</v>
      </c>
      <c r="CA10" s="97">
        <f t="shared" si="15"/>
        <v>1887.765587678</v>
      </c>
      <c r="CB10" s="97">
        <f t="shared" si="15"/>
        <v>229.53246775470393</v>
      </c>
      <c r="CC10" s="97">
        <f t="shared" si="15"/>
        <v>944.51050864280978</v>
      </c>
      <c r="CD10" s="97">
        <f t="shared" si="15"/>
        <v>2201.9044144567501</v>
      </c>
      <c r="CE10" s="97">
        <f t="shared" si="15"/>
        <v>1797.6007644237</v>
      </c>
      <c r="CF10" s="97">
        <f t="shared" si="15"/>
        <v>1841.83028111</v>
      </c>
      <c r="CG10" s="97">
        <f t="shared" si="15"/>
        <v>2230.99062684</v>
      </c>
      <c r="CH10" s="97">
        <f t="shared" si="15"/>
        <v>1845.10231191</v>
      </c>
      <c r="CI10" s="98">
        <f t="shared" si="15"/>
        <v>1827.5814683603001</v>
      </c>
      <c r="CJ10" s="96">
        <f t="shared" si="23"/>
        <v>1528.3533027336</v>
      </c>
      <c r="CK10" s="97">
        <f t="shared" si="16"/>
        <v>1196.1991647750001</v>
      </c>
      <c r="CL10" s="97">
        <f t="shared" si="16"/>
        <v>1191.901912881</v>
      </c>
      <c r="CM10" s="97">
        <f t="shared" si="16"/>
        <v>1415.8241907585</v>
      </c>
      <c r="CN10" s="97">
        <f t="shared" si="16"/>
        <v>172.14935081602795</v>
      </c>
      <c r="CO10" s="97">
        <f t="shared" si="16"/>
        <v>708.38288148210734</v>
      </c>
      <c r="CP10" s="97">
        <f t="shared" si="16"/>
        <v>1651.4283108425625</v>
      </c>
      <c r="CQ10" s="97">
        <f t="shared" si="16"/>
        <v>1348.200573317775</v>
      </c>
      <c r="CR10" s="97">
        <f t="shared" si="16"/>
        <v>1381.3727108324999</v>
      </c>
      <c r="CS10" s="97">
        <f t="shared" si="16"/>
        <v>1673.24297013</v>
      </c>
      <c r="CT10" s="97">
        <f t="shared" si="16"/>
        <v>1383.8267339325</v>
      </c>
      <c r="CU10" s="98">
        <f t="shared" si="16"/>
        <v>1370.686101270225</v>
      </c>
      <c r="CV10" s="99">
        <f t="shared" si="24"/>
        <v>18427.7808</v>
      </c>
      <c r="CW10" s="99">
        <f t="shared" si="25"/>
        <v>4791.2230080000008</v>
      </c>
    </row>
    <row r="11" spans="1:101" hidden="1" outlineLevel="1" x14ac:dyDescent="0.35">
      <c r="A11">
        <v>9</v>
      </c>
      <c r="B11" s="100" t="s">
        <v>51</v>
      </c>
      <c r="C11" s="101" t="s">
        <v>72</v>
      </c>
      <c r="D11" s="102">
        <v>5280</v>
      </c>
      <c r="E11" s="103" t="s">
        <v>67</v>
      </c>
      <c r="F11" s="104" t="s">
        <v>73</v>
      </c>
      <c r="G11" s="63"/>
      <c r="H11" s="105" t="s">
        <v>68</v>
      </c>
      <c r="I11" s="65" t="s">
        <v>56</v>
      </c>
      <c r="J11" s="66" t="s">
        <v>69</v>
      </c>
      <c r="K11" s="106">
        <f t="shared" si="0"/>
        <v>75</v>
      </c>
      <c r="L11" s="107">
        <f t="shared" si="1"/>
        <v>114</v>
      </c>
      <c r="M11" s="107">
        <f t="shared" si="2"/>
        <v>138</v>
      </c>
      <c r="N11" s="108">
        <f t="shared" si="3"/>
        <v>154</v>
      </c>
      <c r="O11" s="109">
        <f t="shared" si="17"/>
        <v>396</v>
      </c>
      <c r="P11" s="110">
        <f t="shared" si="4"/>
        <v>601.91999999999996</v>
      </c>
      <c r="Q11" s="110">
        <f t="shared" si="4"/>
        <v>728.64</v>
      </c>
      <c r="R11" s="111">
        <f t="shared" si="4"/>
        <v>813.12</v>
      </c>
      <c r="S11" s="112">
        <f t="shared" si="18"/>
        <v>0</v>
      </c>
      <c r="T11" s="110">
        <f t="shared" si="5"/>
        <v>0</v>
      </c>
      <c r="U11" s="110">
        <f t="shared" si="5"/>
        <v>0</v>
      </c>
      <c r="V11" s="111">
        <f t="shared" si="5"/>
        <v>0</v>
      </c>
      <c r="W11" s="113">
        <v>0.75</v>
      </c>
      <c r="X11" s="114">
        <f t="shared" si="19"/>
        <v>297</v>
      </c>
      <c r="Y11" s="115">
        <f t="shared" si="6"/>
        <v>451.43999999999994</v>
      </c>
      <c r="Z11" s="115">
        <f t="shared" si="6"/>
        <v>546.48</v>
      </c>
      <c r="AA11" s="116">
        <f t="shared" si="6"/>
        <v>609.84</v>
      </c>
      <c r="AB11" s="117">
        <f t="shared" si="6"/>
        <v>0</v>
      </c>
      <c r="AC11" s="118">
        <f t="shared" si="7"/>
        <v>0</v>
      </c>
      <c r="AD11" s="118">
        <f t="shared" si="7"/>
        <v>0</v>
      </c>
      <c r="AE11" s="119">
        <f t="shared" si="7"/>
        <v>0</v>
      </c>
      <c r="AF11" s="81" t="s">
        <v>32</v>
      </c>
      <c r="AG11" s="120">
        <f t="shared" si="8"/>
        <v>23474.879999999997</v>
      </c>
      <c r="AH11" s="121">
        <f t="shared" si="9"/>
        <v>1941.1919999999996</v>
      </c>
      <c r="AI11" s="122">
        <f t="shared" si="10"/>
        <v>0</v>
      </c>
      <c r="AJ11" s="123">
        <v>0.75</v>
      </c>
      <c r="AL11" s="87"/>
      <c r="AM11" s="87"/>
      <c r="AN11" s="88"/>
      <c r="AY11" s="89"/>
      <c r="AZ11" s="90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2"/>
      <c r="BL11" s="93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5"/>
      <c r="BX11" s="96"/>
      <c r="BY11" s="97"/>
      <c r="BZ11" s="97"/>
      <c r="CA11" s="97"/>
      <c r="CB11" s="97"/>
      <c r="CC11" s="97"/>
      <c r="CD11" s="97"/>
      <c r="CE11" s="97"/>
      <c r="CF11" s="97"/>
      <c r="CG11" s="97"/>
      <c r="CH11" s="97"/>
      <c r="CI11" s="98"/>
      <c r="CJ11" s="96">
        <f t="shared" si="23"/>
        <v>0</v>
      </c>
      <c r="CK11" s="97">
        <f t="shared" si="16"/>
        <v>0</v>
      </c>
      <c r="CL11" s="97">
        <f t="shared" si="16"/>
        <v>0</v>
      </c>
      <c r="CM11" s="97">
        <f t="shared" si="16"/>
        <v>0</v>
      </c>
      <c r="CN11" s="97">
        <f t="shared" si="16"/>
        <v>0</v>
      </c>
      <c r="CO11" s="97">
        <f t="shared" si="16"/>
        <v>0</v>
      </c>
      <c r="CP11" s="97">
        <f t="shared" si="16"/>
        <v>0</v>
      </c>
      <c r="CQ11" s="97">
        <f t="shared" si="16"/>
        <v>0</v>
      </c>
      <c r="CR11" s="97">
        <f t="shared" si="16"/>
        <v>0</v>
      </c>
      <c r="CS11" s="97">
        <f t="shared" si="16"/>
        <v>0</v>
      </c>
      <c r="CT11" s="97">
        <f t="shared" si="16"/>
        <v>0</v>
      </c>
      <c r="CU11" s="98">
        <f t="shared" si="16"/>
        <v>0</v>
      </c>
      <c r="CV11" s="99">
        <f t="shared" si="24"/>
        <v>0</v>
      </c>
      <c r="CW11" s="99">
        <f t="shared" si="25"/>
        <v>0</v>
      </c>
    </row>
    <row r="12" spans="1:101" collapsed="1" x14ac:dyDescent="0.35">
      <c r="A12">
        <v>10</v>
      </c>
      <c r="B12" s="100" t="s">
        <v>51</v>
      </c>
      <c r="C12" s="101" t="s">
        <v>74</v>
      </c>
      <c r="D12" s="124">
        <v>5100</v>
      </c>
      <c r="E12" s="103" t="s">
        <v>75</v>
      </c>
      <c r="F12" s="104" t="s">
        <v>65</v>
      </c>
      <c r="G12" s="63">
        <v>0.26</v>
      </c>
      <c r="H12" s="105" t="s">
        <v>76</v>
      </c>
      <c r="I12" s="65" t="s">
        <v>56</v>
      </c>
      <c r="J12" s="66" t="s">
        <v>56</v>
      </c>
      <c r="K12" s="106">
        <f t="shared" si="0"/>
        <v>75</v>
      </c>
      <c r="L12" s="107">
        <f t="shared" si="1"/>
        <v>114</v>
      </c>
      <c r="M12" s="107">
        <f t="shared" si="2"/>
        <v>138</v>
      </c>
      <c r="N12" s="108">
        <f t="shared" si="3"/>
        <v>154</v>
      </c>
      <c r="O12" s="109">
        <f t="shared" si="17"/>
        <v>382.5</v>
      </c>
      <c r="P12" s="110">
        <f t="shared" si="4"/>
        <v>581.4</v>
      </c>
      <c r="Q12" s="110">
        <f t="shared" si="4"/>
        <v>703.8</v>
      </c>
      <c r="R12" s="111">
        <f t="shared" si="4"/>
        <v>785.4</v>
      </c>
      <c r="S12" s="112">
        <f t="shared" si="18"/>
        <v>5171.4000000000005</v>
      </c>
      <c r="T12" s="110">
        <f t="shared" si="5"/>
        <v>7860.5279999999993</v>
      </c>
      <c r="U12" s="110">
        <f t="shared" si="5"/>
        <v>9515.3760000000002</v>
      </c>
      <c r="V12" s="111">
        <f t="shared" si="5"/>
        <v>10618.608</v>
      </c>
      <c r="W12" s="113">
        <v>0.86</v>
      </c>
      <c r="X12" s="114">
        <f t="shared" si="19"/>
        <v>328.95</v>
      </c>
      <c r="Y12" s="115">
        <f t="shared" si="6"/>
        <v>500.00399999999996</v>
      </c>
      <c r="Z12" s="115">
        <f t="shared" si="6"/>
        <v>605.26799999999992</v>
      </c>
      <c r="AA12" s="116">
        <f t="shared" si="6"/>
        <v>675.44399999999996</v>
      </c>
      <c r="AB12" s="117">
        <f t="shared" si="6"/>
        <v>4447.4040000000005</v>
      </c>
      <c r="AC12" s="118">
        <f t="shared" si="7"/>
        <v>6760.054079999999</v>
      </c>
      <c r="AD12" s="118">
        <f t="shared" si="7"/>
        <v>8183.22336</v>
      </c>
      <c r="AE12" s="119">
        <f t="shared" si="7"/>
        <v>9132.00288</v>
      </c>
      <c r="AF12" s="81" t="s">
        <v>32</v>
      </c>
      <c r="AG12" s="120">
        <f t="shared" si="8"/>
        <v>26000.207999999999</v>
      </c>
      <c r="AH12" s="121">
        <f t="shared" si="9"/>
        <v>2150.0171999999998</v>
      </c>
      <c r="AI12" s="122">
        <f t="shared" si="10"/>
        <v>6760.054079999999</v>
      </c>
      <c r="AJ12" s="123">
        <v>0.75</v>
      </c>
      <c r="AK12" s="86">
        <f>SUM(AN12:AY12)</f>
        <v>23920.222487058913</v>
      </c>
      <c r="AL12" s="87">
        <f>AK12/AG12</f>
        <v>0.92000119718499618</v>
      </c>
      <c r="AM12" s="87">
        <f t="shared" si="20"/>
        <v>1.2266682629133281</v>
      </c>
      <c r="AN12" s="88">
        <v>2101.5175869183499</v>
      </c>
      <c r="AO12">
        <v>1939.0688479788698</v>
      </c>
      <c r="AP12">
        <v>1735.8439600912418</v>
      </c>
      <c r="AQ12">
        <v>2521.6028398057656</v>
      </c>
      <c r="AR12">
        <v>2265.9214229636618</v>
      </c>
      <c r="AS12">
        <v>1960.774595807789</v>
      </c>
      <c r="AT12">
        <v>2041.4342547938768</v>
      </c>
      <c r="AU12">
        <v>1924.2716383871741</v>
      </c>
      <c r="AV12">
        <v>2288.6273263962275</v>
      </c>
      <c r="AW12">
        <v>1709.4750914672272</v>
      </c>
      <c r="AX12">
        <v>1855.7393229009549</v>
      </c>
      <c r="AY12" s="89">
        <v>1575.9455995477767</v>
      </c>
      <c r="AZ12" s="90">
        <f t="shared" ref="AZ12:BK13" si="26">AZ$1*HLOOKUP($AF12,$X$3:$AA$84,$A12,FALSE)</f>
        <v>2500.02</v>
      </c>
      <c r="BA12" s="91">
        <f t="shared" si="26"/>
        <v>2000.0159999999998</v>
      </c>
      <c r="BB12" s="91">
        <f t="shared" si="26"/>
        <v>2000.0159999999998</v>
      </c>
      <c r="BC12" s="91">
        <f t="shared" si="26"/>
        <v>2500.02</v>
      </c>
      <c r="BD12" s="91">
        <f t="shared" si="26"/>
        <v>2000.0159999999998</v>
      </c>
      <c r="BE12" s="91">
        <f t="shared" si="26"/>
        <v>2000.0159999999998</v>
      </c>
      <c r="BF12" s="91">
        <f t="shared" si="26"/>
        <v>2500.02</v>
      </c>
      <c r="BG12" s="91">
        <f t="shared" si="26"/>
        <v>2000.0159999999998</v>
      </c>
      <c r="BH12" s="91">
        <f t="shared" si="26"/>
        <v>2000.0159999999998</v>
      </c>
      <c r="BI12" s="91">
        <f t="shared" si="26"/>
        <v>2500.02</v>
      </c>
      <c r="BJ12" s="91">
        <f t="shared" si="26"/>
        <v>2000.0159999999998</v>
      </c>
      <c r="BK12" s="92">
        <f t="shared" si="26"/>
        <v>2000.0159999999998</v>
      </c>
      <c r="BL12" s="93">
        <f t="shared" si="21"/>
        <v>0.84060030996486024</v>
      </c>
      <c r="BM12" s="94">
        <f t="shared" si="14"/>
        <v>0.96952666777609275</v>
      </c>
      <c r="BN12" s="94">
        <f t="shared" si="14"/>
        <v>0.86791503672532722</v>
      </c>
      <c r="BO12" s="94">
        <f t="shared" si="14"/>
        <v>1.0086330668577714</v>
      </c>
      <c r="BP12" s="94">
        <f t="shared" si="14"/>
        <v>1.1329516478686481</v>
      </c>
      <c r="BQ12" s="94">
        <f t="shared" si="14"/>
        <v>0.98037945486825562</v>
      </c>
      <c r="BR12" s="94">
        <f t="shared" si="14"/>
        <v>0.81656716938019569</v>
      </c>
      <c r="BS12" s="94">
        <f t="shared" si="14"/>
        <v>0.96212812216860977</v>
      </c>
      <c r="BT12" s="94">
        <f t="shared" si="14"/>
        <v>1.1443045087620438</v>
      </c>
      <c r="BU12" s="94">
        <f t="shared" si="14"/>
        <v>0.68378456631036044</v>
      </c>
      <c r="BV12" s="94">
        <f t="shared" si="14"/>
        <v>0.92786223855256911</v>
      </c>
      <c r="BW12" s="95">
        <f t="shared" si="14"/>
        <v>0.78796649604192004</v>
      </c>
      <c r="BX12" s="96">
        <f t="shared" si="22"/>
        <v>398.50241308165005</v>
      </c>
      <c r="BY12" s="97">
        <f t="shared" si="15"/>
        <v>60.947152021130023</v>
      </c>
      <c r="BZ12" s="97">
        <f t="shared" si="15"/>
        <v>264.17203990875805</v>
      </c>
      <c r="CA12" s="97">
        <f t="shared" si="15"/>
        <v>-21.582839805765616</v>
      </c>
      <c r="CB12" s="97">
        <f t="shared" si="15"/>
        <v>-265.90542296366198</v>
      </c>
      <c r="CC12" s="97">
        <f t="shared" si="15"/>
        <v>39.241404192210894</v>
      </c>
      <c r="CD12" s="97">
        <f t="shared" si="15"/>
        <v>458.58574520612319</v>
      </c>
      <c r="CE12" s="97">
        <f t="shared" si="15"/>
        <v>75.744361612825742</v>
      </c>
      <c r="CF12" s="97">
        <f t="shared" si="15"/>
        <v>-288.6113263962277</v>
      </c>
      <c r="CG12" s="97">
        <f t="shared" si="15"/>
        <v>790.54490853277275</v>
      </c>
      <c r="CH12" s="97">
        <f t="shared" si="15"/>
        <v>144.27667709904495</v>
      </c>
      <c r="CI12" s="98">
        <f t="shared" si="15"/>
        <v>424.07040045222311</v>
      </c>
      <c r="CJ12" s="96">
        <f t="shared" si="23"/>
        <v>298.87680981123754</v>
      </c>
      <c r="CK12" s="97">
        <f t="shared" si="16"/>
        <v>45.710364015847517</v>
      </c>
      <c r="CL12" s="97">
        <f t="shared" si="16"/>
        <v>198.12902993156854</v>
      </c>
      <c r="CM12" s="97">
        <f t="shared" si="16"/>
        <v>-16.187129854324212</v>
      </c>
      <c r="CN12" s="97">
        <f t="shared" si="16"/>
        <v>-199.42906722274648</v>
      </c>
      <c r="CO12" s="97">
        <f t="shared" si="16"/>
        <v>29.43105314415817</v>
      </c>
      <c r="CP12" s="97">
        <f t="shared" si="16"/>
        <v>343.93930890459239</v>
      </c>
      <c r="CQ12" s="97">
        <f t="shared" si="16"/>
        <v>56.808271209619306</v>
      </c>
      <c r="CR12" s="97">
        <f t="shared" si="16"/>
        <v>-216.45849479717077</v>
      </c>
      <c r="CS12" s="97">
        <f t="shared" si="16"/>
        <v>592.90868139957956</v>
      </c>
      <c r="CT12" s="97">
        <f t="shared" si="16"/>
        <v>108.20750782428371</v>
      </c>
      <c r="CU12" s="98">
        <f t="shared" si="16"/>
        <v>318.05280033916733</v>
      </c>
      <c r="CV12" s="99">
        <f t="shared" si="24"/>
        <v>19500.155999999999</v>
      </c>
      <c r="CW12" s="99">
        <f t="shared" si="25"/>
        <v>5070.0405599999995</v>
      </c>
    </row>
    <row r="13" spans="1:101" x14ac:dyDescent="0.35">
      <c r="A13">
        <v>11</v>
      </c>
      <c r="B13" s="100" t="s">
        <v>77</v>
      </c>
      <c r="C13" s="101" t="s">
        <v>78</v>
      </c>
      <c r="D13" s="124">
        <v>5055</v>
      </c>
      <c r="E13" s="103" t="s">
        <v>79</v>
      </c>
      <c r="F13" s="104" t="s">
        <v>80</v>
      </c>
      <c r="G13" s="63">
        <v>0.24</v>
      </c>
      <c r="H13" s="64" t="s">
        <v>55</v>
      </c>
      <c r="I13" s="65" t="s">
        <v>56</v>
      </c>
      <c r="J13" s="66" t="s">
        <v>56</v>
      </c>
      <c r="K13" s="106">
        <f>(10*8-24)-5</f>
        <v>51</v>
      </c>
      <c r="L13" s="107">
        <f>(15*8-24)-2</f>
        <v>94</v>
      </c>
      <c r="M13" s="107">
        <f>(15*8-24+2*12)-2</f>
        <v>118</v>
      </c>
      <c r="N13" s="108">
        <f>(15*8-24+4*12)-2</f>
        <v>142</v>
      </c>
      <c r="O13" s="109">
        <f t="shared" si="17"/>
        <v>257.80500000000001</v>
      </c>
      <c r="P13" s="110">
        <f t="shared" si="4"/>
        <v>475.17</v>
      </c>
      <c r="Q13" s="110">
        <f t="shared" si="4"/>
        <v>596.49</v>
      </c>
      <c r="R13" s="111">
        <f t="shared" si="4"/>
        <v>717.81</v>
      </c>
      <c r="S13" s="112">
        <f t="shared" si="18"/>
        <v>3217.4063999999998</v>
      </c>
      <c r="T13" s="110">
        <f t="shared" si="5"/>
        <v>5930.1216000000004</v>
      </c>
      <c r="U13" s="110">
        <f t="shared" si="5"/>
        <v>7444.1952000000001</v>
      </c>
      <c r="V13" s="111">
        <f t="shared" si="5"/>
        <v>8958.2687999999998</v>
      </c>
      <c r="W13" s="113">
        <v>0.74</v>
      </c>
      <c r="X13" s="114">
        <f t="shared" si="19"/>
        <v>190.7757</v>
      </c>
      <c r="Y13" s="115">
        <f t="shared" si="6"/>
        <v>351.62580000000003</v>
      </c>
      <c r="Z13" s="115">
        <f t="shared" si="6"/>
        <v>441.40260000000001</v>
      </c>
      <c r="AA13" s="116">
        <f t="shared" si="6"/>
        <v>531.17939999999999</v>
      </c>
      <c r="AB13" s="117">
        <f t="shared" si="6"/>
        <v>2380.8807360000001</v>
      </c>
      <c r="AC13" s="118">
        <f t="shared" si="7"/>
        <v>4388.289984</v>
      </c>
      <c r="AD13" s="118">
        <f t="shared" si="7"/>
        <v>5508.7044480000004</v>
      </c>
      <c r="AE13" s="119">
        <f t="shared" si="7"/>
        <v>6629.1189119999999</v>
      </c>
      <c r="AF13" s="81" t="s">
        <v>32</v>
      </c>
      <c r="AG13" s="120">
        <f t="shared" si="8"/>
        <v>18284.5416</v>
      </c>
      <c r="AH13" s="121">
        <f t="shared" si="9"/>
        <v>1511.9909400000001</v>
      </c>
      <c r="AI13" s="122">
        <f t="shared" si="10"/>
        <v>4388.289984</v>
      </c>
      <c r="AJ13" s="123">
        <v>0.75</v>
      </c>
      <c r="AK13" s="86">
        <f>SUM(AN13:AY13)</f>
        <v>8458.3089856503357</v>
      </c>
      <c r="AL13" s="87">
        <f>AK13/AG13</f>
        <v>0.46259343934825992</v>
      </c>
      <c r="AM13" s="87">
        <f t="shared" si="20"/>
        <v>0.61679125246434652</v>
      </c>
      <c r="AN13" s="88">
        <v>683.64015759262986</v>
      </c>
      <c r="AO13">
        <v>600.9129167799</v>
      </c>
      <c r="AP13">
        <v>564.54625570582004</v>
      </c>
      <c r="AQ13">
        <v>573.74562489982009</v>
      </c>
      <c r="AR13">
        <v>608.79342779638034</v>
      </c>
      <c r="AS13">
        <v>705.35112807232986</v>
      </c>
      <c r="AT13">
        <v>901.58193879125952</v>
      </c>
      <c r="AU13">
        <v>805.57936781319984</v>
      </c>
      <c r="AV13">
        <v>967.46651876120973</v>
      </c>
      <c r="AW13">
        <v>772.15313632903042</v>
      </c>
      <c r="AX13">
        <v>687.32546802451009</v>
      </c>
      <c r="AY13" s="89">
        <v>587.21304508424657</v>
      </c>
      <c r="AZ13" s="90">
        <f t="shared" si="26"/>
        <v>1758.1290000000001</v>
      </c>
      <c r="BA13" s="91">
        <f t="shared" si="26"/>
        <v>1406.5032000000001</v>
      </c>
      <c r="BB13" s="91">
        <f t="shared" si="26"/>
        <v>1406.5032000000001</v>
      </c>
      <c r="BC13" s="91">
        <f t="shared" si="26"/>
        <v>1758.1290000000001</v>
      </c>
      <c r="BD13" s="91">
        <f t="shared" si="26"/>
        <v>1406.5032000000001</v>
      </c>
      <c r="BE13" s="91">
        <f t="shared" si="26"/>
        <v>1406.5032000000001</v>
      </c>
      <c r="BF13" s="91">
        <f t="shared" si="26"/>
        <v>1758.1290000000001</v>
      </c>
      <c r="BG13" s="91">
        <f t="shared" si="26"/>
        <v>1406.5032000000001</v>
      </c>
      <c r="BH13" s="91">
        <f t="shared" si="26"/>
        <v>1406.5032000000001</v>
      </c>
      <c r="BI13" s="91">
        <f t="shared" si="26"/>
        <v>1758.1290000000001</v>
      </c>
      <c r="BJ13" s="91">
        <f t="shared" si="26"/>
        <v>1406.5032000000001</v>
      </c>
      <c r="BK13" s="92">
        <f t="shared" si="26"/>
        <v>1406.5032000000001</v>
      </c>
      <c r="BL13" s="93">
        <f t="shared" si="21"/>
        <v>0.38884527676446373</v>
      </c>
      <c r="BM13" s="94">
        <f t="shared" si="14"/>
        <v>0.42723892613959213</v>
      </c>
      <c r="BN13" s="94">
        <f t="shared" si="14"/>
        <v>0.40138284484942516</v>
      </c>
      <c r="BO13" s="94">
        <f t="shared" si="14"/>
        <v>0.32633875267390505</v>
      </c>
      <c r="BP13" s="94">
        <f t="shared" si="14"/>
        <v>0.4328418362620009</v>
      </c>
      <c r="BQ13" s="94">
        <f t="shared" si="14"/>
        <v>0.5014927289694967</v>
      </c>
      <c r="BR13" s="94">
        <f t="shared" si="14"/>
        <v>0.51280761468086777</v>
      </c>
      <c r="BS13" s="94">
        <f t="shared" si="14"/>
        <v>0.57275331319061329</v>
      </c>
      <c r="BT13" s="94">
        <f t="shared" si="14"/>
        <v>0.68785234101224202</v>
      </c>
      <c r="BU13" s="94">
        <f t="shared" si="14"/>
        <v>0.43919026210763279</v>
      </c>
      <c r="BV13" s="94">
        <f t="shared" si="14"/>
        <v>0.48867678937702386</v>
      </c>
      <c r="BW13" s="95">
        <f t="shared" si="14"/>
        <v>0.41749854894339844</v>
      </c>
      <c r="BX13" s="96">
        <f t="shared" si="22"/>
        <v>1074.4888424073702</v>
      </c>
      <c r="BY13" s="97">
        <f t="shared" si="15"/>
        <v>805.5902832201001</v>
      </c>
      <c r="BZ13" s="97">
        <f t="shared" si="15"/>
        <v>841.95694429418006</v>
      </c>
      <c r="CA13" s="97">
        <f t="shared" si="15"/>
        <v>1184.38337510018</v>
      </c>
      <c r="CB13" s="97">
        <f t="shared" si="15"/>
        <v>797.70977220361976</v>
      </c>
      <c r="CC13" s="97">
        <f t="shared" si="15"/>
        <v>701.15207192767025</v>
      </c>
      <c r="CD13" s="97">
        <f t="shared" si="15"/>
        <v>856.54706120874062</v>
      </c>
      <c r="CE13" s="97">
        <f t="shared" si="15"/>
        <v>600.92383218680027</v>
      </c>
      <c r="CF13" s="97">
        <f t="shared" si="15"/>
        <v>439.03668123879038</v>
      </c>
      <c r="CG13" s="97">
        <f t="shared" si="15"/>
        <v>985.97586367096972</v>
      </c>
      <c r="CH13" s="97">
        <f t="shared" si="15"/>
        <v>719.17773197549002</v>
      </c>
      <c r="CI13" s="98">
        <f t="shared" si="15"/>
        <v>819.29015491575353</v>
      </c>
      <c r="CJ13" s="96">
        <f t="shared" si="23"/>
        <v>805.86663180552762</v>
      </c>
      <c r="CK13" s="97">
        <f t="shared" si="16"/>
        <v>604.19271241507511</v>
      </c>
      <c r="CL13" s="97">
        <f t="shared" si="16"/>
        <v>631.46770822063502</v>
      </c>
      <c r="CM13" s="97">
        <f t="shared" si="16"/>
        <v>888.28753132513498</v>
      </c>
      <c r="CN13" s="97">
        <f t="shared" si="16"/>
        <v>598.28232915271485</v>
      </c>
      <c r="CO13" s="97">
        <f t="shared" si="16"/>
        <v>525.86405394575263</v>
      </c>
      <c r="CP13" s="97">
        <f t="shared" si="16"/>
        <v>642.41029590655546</v>
      </c>
      <c r="CQ13" s="97">
        <f t="shared" si="16"/>
        <v>450.69287414010023</v>
      </c>
      <c r="CR13" s="97">
        <f t="shared" si="16"/>
        <v>329.27751092909278</v>
      </c>
      <c r="CS13" s="97">
        <f t="shared" si="16"/>
        <v>739.48189775322726</v>
      </c>
      <c r="CT13" s="97">
        <f t="shared" si="16"/>
        <v>539.38329898161749</v>
      </c>
      <c r="CU13" s="98">
        <f t="shared" si="16"/>
        <v>614.46761618681512</v>
      </c>
      <c r="CV13" s="99">
        <f t="shared" si="24"/>
        <v>13713.406200000001</v>
      </c>
      <c r="CW13" s="99">
        <f t="shared" si="25"/>
        <v>3291.2174880000002</v>
      </c>
    </row>
    <row r="14" spans="1:101" hidden="1" outlineLevel="1" x14ac:dyDescent="0.35">
      <c r="A14">
        <v>12</v>
      </c>
      <c r="B14" s="100" t="s">
        <v>77</v>
      </c>
      <c r="C14" s="101" t="s">
        <v>78</v>
      </c>
      <c r="D14" s="102">
        <v>5160</v>
      </c>
      <c r="E14" s="103" t="s">
        <v>79</v>
      </c>
      <c r="F14" s="104" t="s">
        <v>54</v>
      </c>
      <c r="G14" s="63">
        <v>0.24</v>
      </c>
      <c r="H14" s="64" t="s">
        <v>55</v>
      </c>
      <c r="I14" s="65" t="s">
        <v>56</v>
      </c>
      <c r="J14" s="66" t="s">
        <v>56</v>
      </c>
      <c r="K14" s="106">
        <f>(10*8-24)-5</f>
        <v>51</v>
      </c>
      <c r="L14" s="107">
        <f>(15*8-24)-2</f>
        <v>94</v>
      </c>
      <c r="M14" s="107">
        <f>(15*8-24+2*12)-2</f>
        <v>118</v>
      </c>
      <c r="N14" s="108">
        <f>(15*8-24+4*12)-2</f>
        <v>142</v>
      </c>
      <c r="O14" s="109">
        <f t="shared" si="17"/>
        <v>263.16000000000003</v>
      </c>
      <c r="P14" s="110">
        <f t="shared" si="4"/>
        <v>485.04</v>
      </c>
      <c r="Q14" s="110">
        <f t="shared" si="4"/>
        <v>608.88</v>
      </c>
      <c r="R14" s="111">
        <f t="shared" si="4"/>
        <v>732.72</v>
      </c>
      <c r="S14" s="112">
        <f t="shared" si="18"/>
        <v>3284.2368000000001</v>
      </c>
      <c r="T14" s="110">
        <f t="shared" si="5"/>
        <v>6053.2991999999995</v>
      </c>
      <c r="U14" s="110">
        <f t="shared" si="5"/>
        <v>7598.8224</v>
      </c>
      <c r="V14" s="111">
        <f t="shared" si="5"/>
        <v>9144.3456000000006</v>
      </c>
      <c r="W14" s="113">
        <v>0.74</v>
      </c>
      <c r="X14" s="114">
        <f t="shared" si="19"/>
        <v>194.73840000000001</v>
      </c>
      <c r="Y14" s="115">
        <f t="shared" si="6"/>
        <v>358.92959999999999</v>
      </c>
      <c r="Z14" s="115">
        <f t="shared" si="6"/>
        <v>450.57119999999998</v>
      </c>
      <c r="AA14" s="116">
        <f t="shared" si="6"/>
        <v>542.21280000000002</v>
      </c>
      <c r="AB14" s="117">
        <f t="shared" si="6"/>
        <v>2430.3352319999999</v>
      </c>
      <c r="AC14" s="118">
        <f t="shared" si="7"/>
        <v>4479.4414079999997</v>
      </c>
      <c r="AD14" s="118">
        <f t="shared" si="7"/>
        <v>5623.1285760000001</v>
      </c>
      <c r="AE14" s="119">
        <f t="shared" si="7"/>
        <v>6766.8157440000004</v>
      </c>
      <c r="AF14" s="81"/>
      <c r="AG14" s="120">
        <f t="shared" si="8"/>
        <v>0</v>
      </c>
      <c r="AH14" s="121">
        <f t="shared" si="9"/>
        <v>0</v>
      </c>
      <c r="AI14" s="122">
        <f t="shared" si="10"/>
        <v>0</v>
      </c>
      <c r="AJ14" s="123">
        <v>0.75</v>
      </c>
      <c r="AK14" s="86"/>
      <c r="AL14" s="87"/>
      <c r="AM14" s="87"/>
      <c r="AN14" s="88"/>
      <c r="AY14" s="89"/>
      <c r="AZ14" s="90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2"/>
      <c r="BL14" s="88"/>
      <c r="BW14" s="89"/>
      <c r="BX14" s="96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8"/>
      <c r="CJ14" s="96">
        <f t="shared" si="23"/>
        <v>0</v>
      </c>
      <c r="CK14" s="97">
        <f t="shared" si="16"/>
        <v>0</v>
      </c>
      <c r="CL14" s="97">
        <f t="shared" si="16"/>
        <v>0</v>
      </c>
      <c r="CM14" s="97">
        <f t="shared" si="16"/>
        <v>0</v>
      </c>
      <c r="CN14" s="97">
        <f t="shared" si="16"/>
        <v>0</v>
      </c>
      <c r="CO14" s="97">
        <f t="shared" si="16"/>
        <v>0</v>
      </c>
      <c r="CP14" s="97">
        <f t="shared" si="16"/>
        <v>0</v>
      </c>
      <c r="CQ14" s="97">
        <f t="shared" si="16"/>
        <v>0</v>
      </c>
      <c r="CR14" s="97">
        <f t="shared" si="16"/>
        <v>0</v>
      </c>
      <c r="CS14" s="97">
        <f t="shared" si="16"/>
        <v>0</v>
      </c>
      <c r="CT14" s="97">
        <f t="shared" si="16"/>
        <v>0</v>
      </c>
      <c r="CU14" s="98">
        <f t="shared" si="16"/>
        <v>0</v>
      </c>
      <c r="CV14" s="99">
        <f t="shared" si="24"/>
        <v>0</v>
      </c>
      <c r="CW14" s="99">
        <f t="shared" si="25"/>
        <v>0</v>
      </c>
    </row>
    <row r="15" spans="1:101" hidden="1" outlineLevel="1" x14ac:dyDescent="0.35">
      <c r="A15">
        <v>13</v>
      </c>
      <c r="B15" s="100" t="s">
        <v>77</v>
      </c>
      <c r="C15" s="101" t="s">
        <v>78</v>
      </c>
      <c r="D15" s="102">
        <v>4500</v>
      </c>
      <c r="E15" s="103" t="s">
        <v>81</v>
      </c>
      <c r="F15" s="104" t="s">
        <v>82</v>
      </c>
      <c r="G15" s="63">
        <v>0.3</v>
      </c>
      <c r="H15" s="64" t="s">
        <v>55</v>
      </c>
      <c r="I15" s="65" t="s">
        <v>56</v>
      </c>
      <c r="J15" s="66" t="s">
        <v>56</v>
      </c>
      <c r="K15" s="106">
        <f>(10*8-24)-5</f>
        <v>51</v>
      </c>
      <c r="L15" s="107">
        <f>(15*8-24)-2</f>
        <v>94</v>
      </c>
      <c r="M15" s="107">
        <f>(15*8-24+2*12)-2</f>
        <v>118</v>
      </c>
      <c r="N15" s="108">
        <f>(15*8-24+4*12)-2</f>
        <v>142</v>
      </c>
      <c r="O15" s="109">
        <f t="shared" si="17"/>
        <v>229.5</v>
      </c>
      <c r="P15" s="110">
        <f t="shared" si="4"/>
        <v>423</v>
      </c>
      <c r="Q15" s="110">
        <f t="shared" si="4"/>
        <v>531</v>
      </c>
      <c r="R15" s="111">
        <f t="shared" si="4"/>
        <v>639</v>
      </c>
      <c r="S15" s="112">
        <f t="shared" si="18"/>
        <v>3580.2</v>
      </c>
      <c r="T15" s="110">
        <f t="shared" si="5"/>
        <v>6598.7999999999993</v>
      </c>
      <c r="U15" s="110">
        <f t="shared" si="5"/>
        <v>8283.5999999999985</v>
      </c>
      <c r="V15" s="111">
        <f t="shared" si="5"/>
        <v>9968.4</v>
      </c>
      <c r="W15" s="113">
        <v>1.74</v>
      </c>
      <c r="X15" s="114">
        <f t="shared" si="19"/>
        <v>399.33</v>
      </c>
      <c r="Y15" s="115">
        <f t="shared" si="6"/>
        <v>736.02</v>
      </c>
      <c r="Z15" s="115">
        <f t="shared" si="6"/>
        <v>923.93999999999994</v>
      </c>
      <c r="AA15" s="116">
        <f t="shared" si="6"/>
        <v>1111.8599999999999</v>
      </c>
      <c r="AB15" s="117">
        <f t="shared" si="6"/>
        <v>6229.5479999999998</v>
      </c>
      <c r="AC15" s="118">
        <f t="shared" si="7"/>
        <v>11481.911999999998</v>
      </c>
      <c r="AD15" s="118">
        <f t="shared" si="7"/>
        <v>14413.463999999998</v>
      </c>
      <c r="AE15" s="119">
        <f t="shared" si="7"/>
        <v>17345.016</v>
      </c>
      <c r="AF15" s="81"/>
      <c r="AG15" s="120">
        <f t="shared" si="8"/>
        <v>0</v>
      </c>
      <c r="AH15" s="121">
        <f t="shared" si="9"/>
        <v>0</v>
      </c>
      <c r="AI15" s="122">
        <f t="shared" si="10"/>
        <v>0</v>
      </c>
      <c r="AJ15" s="123">
        <v>0.75</v>
      </c>
      <c r="AK15" s="86"/>
      <c r="AL15" s="87"/>
      <c r="AM15" s="87"/>
      <c r="AN15" s="88"/>
      <c r="AY15" s="89"/>
      <c r="AZ15" s="90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2"/>
      <c r="BL15" s="88"/>
      <c r="BW15" s="89"/>
      <c r="BX15" s="96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8"/>
      <c r="CJ15" s="96">
        <f t="shared" si="23"/>
        <v>0</v>
      </c>
      <c r="CK15" s="97">
        <f t="shared" si="16"/>
        <v>0</v>
      </c>
      <c r="CL15" s="97">
        <f t="shared" si="16"/>
        <v>0</v>
      </c>
      <c r="CM15" s="97">
        <f t="shared" si="16"/>
        <v>0</v>
      </c>
      <c r="CN15" s="97">
        <f t="shared" si="16"/>
        <v>0</v>
      </c>
      <c r="CO15" s="97">
        <f t="shared" si="16"/>
        <v>0</v>
      </c>
      <c r="CP15" s="97">
        <f t="shared" si="16"/>
        <v>0</v>
      </c>
      <c r="CQ15" s="97">
        <f t="shared" si="16"/>
        <v>0</v>
      </c>
      <c r="CR15" s="97">
        <f t="shared" si="16"/>
        <v>0</v>
      </c>
      <c r="CS15" s="97">
        <f t="shared" si="16"/>
        <v>0</v>
      </c>
      <c r="CT15" s="97">
        <f t="shared" si="16"/>
        <v>0</v>
      </c>
      <c r="CU15" s="98">
        <f t="shared" si="16"/>
        <v>0</v>
      </c>
      <c r="CV15" s="99">
        <f t="shared" si="24"/>
        <v>0</v>
      </c>
      <c r="CW15" s="99">
        <f t="shared" si="25"/>
        <v>0</v>
      </c>
    </row>
    <row r="16" spans="1:101" collapsed="1" x14ac:dyDescent="0.35">
      <c r="A16">
        <v>14</v>
      </c>
      <c r="B16" s="100" t="s">
        <v>77</v>
      </c>
      <c r="C16" s="101" t="s">
        <v>83</v>
      </c>
      <c r="D16" s="125">
        <v>4650</v>
      </c>
      <c r="E16" s="103" t="s">
        <v>79</v>
      </c>
      <c r="F16" s="105" t="s">
        <v>84</v>
      </c>
      <c r="G16" s="63">
        <v>0.3</v>
      </c>
      <c r="H16" s="105" t="s">
        <v>85</v>
      </c>
      <c r="I16" s="65" t="s">
        <v>86</v>
      </c>
      <c r="J16" s="66" t="s">
        <v>86</v>
      </c>
      <c r="K16" s="106">
        <f>(10*8-10)-5</f>
        <v>65</v>
      </c>
      <c r="L16" s="107">
        <f>(15*8-10)-2</f>
        <v>108</v>
      </c>
      <c r="M16" s="107">
        <f>(15*8-10+2*12)-2</f>
        <v>132</v>
      </c>
      <c r="N16" s="108">
        <f>(15*8-10+4*12)-2</f>
        <v>156</v>
      </c>
      <c r="O16" s="109">
        <f t="shared" si="17"/>
        <v>302.25</v>
      </c>
      <c r="P16" s="110">
        <f t="shared" si="4"/>
        <v>502.2</v>
      </c>
      <c r="Q16" s="110">
        <f t="shared" si="4"/>
        <v>613.79999999999995</v>
      </c>
      <c r="R16" s="111">
        <f t="shared" si="4"/>
        <v>725.4</v>
      </c>
      <c r="S16" s="112">
        <f t="shared" si="18"/>
        <v>4715.0999999999995</v>
      </c>
      <c r="T16" s="110">
        <f t="shared" si="5"/>
        <v>7834.32</v>
      </c>
      <c r="U16" s="110">
        <f t="shared" si="5"/>
        <v>9575.2799999999988</v>
      </c>
      <c r="V16" s="111">
        <f t="shared" si="5"/>
        <v>11316.239999999998</v>
      </c>
      <c r="W16" s="113">
        <f>AVERAGE(W17:W18)</f>
        <v>0.8</v>
      </c>
      <c r="X16" s="114">
        <f t="shared" si="19"/>
        <v>241.8</v>
      </c>
      <c r="Y16" s="115">
        <f t="shared" si="6"/>
        <v>401.76</v>
      </c>
      <c r="Z16" s="115">
        <f t="shared" si="6"/>
        <v>491.03999999999996</v>
      </c>
      <c r="AA16" s="116">
        <f t="shared" si="6"/>
        <v>580.32000000000005</v>
      </c>
      <c r="AB16" s="117">
        <f t="shared" si="6"/>
        <v>3772.08</v>
      </c>
      <c r="AC16" s="118">
        <f t="shared" si="7"/>
        <v>6267.4560000000001</v>
      </c>
      <c r="AD16" s="118">
        <f t="shared" si="7"/>
        <v>7660.2239999999993</v>
      </c>
      <c r="AE16" s="119">
        <f t="shared" si="7"/>
        <v>9052.9919999999984</v>
      </c>
      <c r="AF16" s="81" t="s">
        <v>31</v>
      </c>
      <c r="AG16" s="120">
        <f t="shared" si="8"/>
        <v>12573.6</v>
      </c>
      <c r="AH16" s="121">
        <f t="shared" si="9"/>
        <v>1039.74</v>
      </c>
      <c r="AI16" s="122">
        <f t="shared" si="10"/>
        <v>3772.08</v>
      </c>
      <c r="AJ16" s="126">
        <v>0.9</v>
      </c>
      <c r="AK16" s="86">
        <v>15770</v>
      </c>
      <c r="AL16" s="87">
        <f>AK16/AG16</f>
        <v>1.2542151810141884</v>
      </c>
      <c r="AM16" s="87">
        <f t="shared" si="20"/>
        <v>1.3935724233490983</v>
      </c>
      <c r="AN16" s="88">
        <v>866.16310003202977</v>
      </c>
      <c r="AO16">
        <v>774.14451990113992</v>
      </c>
      <c r="AP16">
        <v>1359.3769795382725</v>
      </c>
      <c r="AQ16">
        <v>1372.72343878216</v>
      </c>
      <c r="AR16">
        <v>1245.6163793284504</v>
      </c>
      <c r="AS16">
        <v>1418.9511381646205</v>
      </c>
      <c r="AT16">
        <v>1540.9202094980299</v>
      </c>
      <c r="AU16">
        <v>1258.3537635287003</v>
      </c>
      <c r="AV16">
        <v>1638.4576375301899</v>
      </c>
      <c r="AW16">
        <v>1475.6449301786795</v>
      </c>
      <c r="AX16">
        <v>1461.1947800660794</v>
      </c>
      <c r="AY16" s="89">
        <v>1358.9752933640095</v>
      </c>
      <c r="AZ16" s="90">
        <f t="shared" ref="AZ16:BK16" si="27">AZ$1*HLOOKUP($AF16,$X$3:$AA$84,$A16,FALSE)</f>
        <v>1209</v>
      </c>
      <c r="BA16" s="91">
        <f t="shared" si="27"/>
        <v>967.2</v>
      </c>
      <c r="BB16" s="91">
        <f t="shared" si="27"/>
        <v>967.2</v>
      </c>
      <c r="BC16" s="91">
        <f t="shared" si="27"/>
        <v>1209</v>
      </c>
      <c r="BD16" s="91">
        <f t="shared" si="27"/>
        <v>967.2</v>
      </c>
      <c r="BE16" s="91">
        <f t="shared" si="27"/>
        <v>967.2</v>
      </c>
      <c r="BF16" s="91">
        <f t="shared" si="27"/>
        <v>1209</v>
      </c>
      <c r="BG16" s="91">
        <f t="shared" si="27"/>
        <v>967.2</v>
      </c>
      <c r="BH16" s="91">
        <f t="shared" si="27"/>
        <v>967.2</v>
      </c>
      <c r="BI16" s="91">
        <f t="shared" si="27"/>
        <v>1209</v>
      </c>
      <c r="BJ16" s="91">
        <f t="shared" si="27"/>
        <v>967.2</v>
      </c>
      <c r="BK16" s="92">
        <f t="shared" si="27"/>
        <v>967.2</v>
      </c>
      <c r="BL16" s="93">
        <f t="shared" ref="BL16:BW16" si="28">AN16/AZ16</f>
        <v>0.71642936313650107</v>
      </c>
      <c r="BM16" s="94">
        <f t="shared" si="28"/>
        <v>0.80039755986470207</v>
      </c>
      <c r="BN16" s="94">
        <f t="shared" si="28"/>
        <v>1.40547661242584</v>
      </c>
      <c r="BO16" s="94">
        <f t="shared" si="28"/>
        <v>1.1354205448983954</v>
      </c>
      <c r="BP16" s="94">
        <f t="shared" si="28"/>
        <v>1.2878581258565451</v>
      </c>
      <c r="BQ16" s="94">
        <f t="shared" si="28"/>
        <v>1.4670710692355464</v>
      </c>
      <c r="BR16" s="94">
        <f t="shared" si="28"/>
        <v>1.2745411162101157</v>
      </c>
      <c r="BS16" s="94">
        <f t="shared" si="28"/>
        <v>1.3010274643596984</v>
      </c>
      <c r="BT16" s="94">
        <f t="shared" si="28"/>
        <v>1.6940215441792699</v>
      </c>
      <c r="BU16" s="94">
        <f t="shared" si="28"/>
        <v>1.2205499836051938</v>
      </c>
      <c r="BV16" s="94">
        <f t="shared" si="28"/>
        <v>1.5107472912180306</v>
      </c>
      <c r="BW16" s="95">
        <f t="shared" si="28"/>
        <v>1.4050613041397948</v>
      </c>
      <c r="BX16" s="96">
        <f t="shared" si="22"/>
        <v>342.83689996797023</v>
      </c>
      <c r="BY16" s="97">
        <f t="shared" si="15"/>
        <v>193.05548009886013</v>
      </c>
      <c r="BZ16" s="97">
        <f t="shared" si="15"/>
        <v>-392.17697953827246</v>
      </c>
      <c r="CA16" s="97">
        <f t="shared" si="15"/>
        <v>-163.72343878215997</v>
      </c>
      <c r="CB16" s="97">
        <f t="shared" si="15"/>
        <v>-278.41637932845038</v>
      </c>
      <c r="CC16" s="97">
        <f t="shared" si="15"/>
        <v>-451.75113816462044</v>
      </c>
      <c r="CD16" s="97">
        <f t="shared" si="15"/>
        <v>-331.92020949802986</v>
      </c>
      <c r="CE16" s="97">
        <f t="shared" si="15"/>
        <v>-291.15376352870021</v>
      </c>
      <c r="CF16" s="97">
        <f t="shared" si="15"/>
        <v>-671.25763753018987</v>
      </c>
      <c r="CG16" s="97">
        <f t="shared" si="15"/>
        <v>-266.64493017867949</v>
      </c>
      <c r="CH16" s="97">
        <f t="shared" si="15"/>
        <v>-493.99478006607933</v>
      </c>
      <c r="CI16" s="98">
        <f t="shared" si="15"/>
        <v>-391.77529336400949</v>
      </c>
      <c r="CJ16" s="96">
        <f t="shared" si="23"/>
        <v>308.5532099711732</v>
      </c>
      <c r="CK16" s="97">
        <f t="shared" si="16"/>
        <v>173.74993208897413</v>
      </c>
      <c r="CL16" s="97">
        <f t="shared" si="16"/>
        <v>-352.95928158444525</v>
      </c>
      <c r="CM16" s="97">
        <f t="shared" si="16"/>
        <v>-147.35109490394399</v>
      </c>
      <c r="CN16" s="97">
        <f t="shared" si="16"/>
        <v>-250.57474139560534</v>
      </c>
      <c r="CO16" s="97">
        <f t="shared" si="16"/>
        <v>-406.5760243481584</v>
      </c>
      <c r="CP16" s="97">
        <f t="shared" si="16"/>
        <v>-298.72818854822691</v>
      </c>
      <c r="CQ16" s="97">
        <f t="shared" si="16"/>
        <v>-262.03838717583022</v>
      </c>
      <c r="CR16" s="97">
        <f t="shared" si="16"/>
        <v>-604.13187377717088</v>
      </c>
      <c r="CS16" s="97">
        <f t="shared" si="16"/>
        <v>-239.98043716081153</v>
      </c>
      <c r="CT16" s="97">
        <f t="shared" si="16"/>
        <v>-444.59530205947141</v>
      </c>
      <c r="CU16" s="98">
        <f t="shared" si="16"/>
        <v>-352.59776402760855</v>
      </c>
      <c r="CV16" s="99">
        <f t="shared" si="24"/>
        <v>11316.240000000002</v>
      </c>
      <c r="CW16" s="99">
        <f t="shared" si="25"/>
        <v>3394.8719999999998</v>
      </c>
    </row>
    <row r="17" spans="1:101" hidden="1" outlineLevel="1" x14ac:dyDescent="0.35">
      <c r="A17">
        <v>15</v>
      </c>
      <c r="B17" s="100" t="s">
        <v>77</v>
      </c>
      <c r="C17" s="101" t="s">
        <v>83</v>
      </c>
      <c r="D17" s="102">
        <v>4800</v>
      </c>
      <c r="E17" s="103" t="s">
        <v>79</v>
      </c>
      <c r="F17" s="105" t="s">
        <v>87</v>
      </c>
      <c r="G17" s="63">
        <v>0.26</v>
      </c>
      <c r="H17" s="105" t="s">
        <v>61</v>
      </c>
      <c r="I17" s="65" t="s">
        <v>86</v>
      </c>
      <c r="J17" s="66" t="s">
        <v>86</v>
      </c>
      <c r="K17" s="106">
        <f>(10*8-10)-5</f>
        <v>65</v>
      </c>
      <c r="L17" s="107">
        <f>(15*8-10)-2</f>
        <v>108</v>
      </c>
      <c r="M17" s="107">
        <f>(15*8-10+2*12)-2</f>
        <v>132</v>
      </c>
      <c r="N17" s="108">
        <f>(15*8-10+4*12)-2</f>
        <v>156</v>
      </c>
      <c r="O17" s="109">
        <f t="shared" si="17"/>
        <v>312</v>
      </c>
      <c r="P17" s="110">
        <f t="shared" si="4"/>
        <v>518.4</v>
      </c>
      <c r="Q17" s="110">
        <f t="shared" si="4"/>
        <v>633.6</v>
      </c>
      <c r="R17" s="111">
        <f t="shared" si="4"/>
        <v>748.8</v>
      </c>
      <c r="S17" s="112">
        <f t="shared" si="18"/>
        <v>4218.24</v>
      </c>
      <c r="T17" s="110">
        <f t="shared" si="5"/>
        <v>7008.768</v>
      </c>
      <c r="U17" s="110">
        <f t="shared" si="5"/>
        <v>8566.2720000000008</v>
      </c>
      <c r="V17" s="111">
        <f t="shared" si="5"/>
        <v>10123.776</v>
      </c>
      <c r="W17" s="113">
        <v>0.77</v>
      </c>
      <c r="X17" s="114">
        <f t="shared" si="19"/>
        <v>240.24</v>
      </c>
      <c r="Y17" s="115">
        <f t="shared" si="6"/>
        <v>399.16800000000001</v>
      </c>
      <c r="Z17" s="115">
        <f t="shared" si="6"/>
        <v>487.87200000000001</v>
      </c>
      <c r="AA17" s="116">
        <f t="shared" si="6"/>
        <v>576.57600000000002</v>
      </c>
      <c r="AB17" s="117">
        <f t="shared" si="6"/>
        <v>3248.0448000000001</v>
      </c>
      <c r="AC17" s="118">
        <f t="shared" si="7"/>
        <v>5396.7513600000002</v>
      </c>
      <c r="AD17" s="118">
        <f t="shared" si="7"/>
        <v>6596.0294400000012</v>
      </c>
      <c r="AE17" s="119">
        <f t="shared" si="7"/>
        <v>7795.3075200000003</v>
      </c>
      <c r="AF17" s="81"/>
      <c r="AG17" s="120">
        <f t="shared" si="8"/>
        <v>0</v>
      </c>
      <c r="AH17" s="121">
        <f t="shared" si="9"/>
        <v>0</v>
      </c>
      <c r="AI17" s="122">
        <f t="shared" si="10"/>
        <v>0</v>
      </c>
      <c r="AJ17" s="123">
        <v>0.9</v>
      </c>
      <c r="AL17" s="87"/>
      <c r="AM17" s="87"/>
      <c r="AN17" s="88"/>
      <c r="AY17" s="89"/>
      <c r="AZ17" s="90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2"/>
      <c r="BL17" s="88"/>
      <c r="BW17" s="89"/>
      <c r="BX17" s="96"/>
      <c r="BY17" s="97"/>
      <c r="BZ17" s="97"/>
      <c r="CA17" s="97"/>
      <c r="CB17" s="97"/>
      <c r="CC17" s="97"/>
      <c r="CD17" s="97"/>
      <c r="CE17" s="97"/>
      <c r="CF17" s="97"/>
      <c r="CG17" s="97"/>
      <c r="CH17" s="97"/>
      <c r="CI17" s="98"/>
      <c r="CJ17" s="96">
        <f t="shared" si="23"/>
        <v>0</v>
      </c>
      <c r="CK17" s="97">
        <f t="shared" si="16"/>
        <v>0</v>
      </c>
      <c r="CL17" s="97">
        <f t="shared" si="16"/>
        <v>0</v>
      </c>
      <c r="CM17" s="97">
        <f t="shared" si="16"/>
        <v>0</v>
      </c>
      <c r="CN17" s="97">
        <f t="shared" si="16"/>
        <v>0</v>
      </c>
      <c r="CO17" s="97">
        <f t="shared" si="16"/>
        <v>0</v>
      </c>
      <c r="CP17" s="97">
        <f t="shared" si="16"/>
        <v>0</v>
      </c>
      <c r="CQ17" s="97">
        <f t="shared" si="16"/>
        <v>0</v>
      </c>
      <c r="CR17" s="97">
        <f t="shared" si="16"/>
        <v>0</v>
      </c>
      <c r="CS17" s="97">
        <f t="shared" si="16"/>
        <v>0</v>
      </c>
      <c r="CT17" s="97">
        <f t="shared" si="16"/>
        <v>0</v>
      </c>
      <c r="CU17" s="98">
        <f t="shared" si="16"/>
        <v>0</v>
      </c>
      <c r="CV17" s="99">
        <f t="shared" si="24"/>
        <v>0</v>
      </c>
      <c r="CW17" s="99">
        <f t="shared" si="25"/>
        <v>0</v>
      </c>
    </row>
    <row r="18" spans="1:101" hidden="1" outlineLevel="1" x14ac:dyDescent="0.35">
      <c r="A18">
        <v>16</v>
      </c>
      <c r="B18" s="100" t="s">
        <v>77</v>
      </c>
      <c r="C18" s="101" t="s">
        <v>83</v>
      </c>
      <c r="D18" s="102">
        <v>4500</v>
      </c>
      <c r="E18" s="103" t="s">
        <v>81</v>
      </c>
      <c r="F18" s="105" t="s">
        <v>88</v>
      </c>
      <c r="G18" s="63">
        <v>0.4</v>
      </c>
      <c r="H18" s="105" t="s">
        <v>61</v>
      </c>
      <c r="I18" s="65" t="s">
        <v>86</v>
      </c>
      <c r="J18" s="66" t="s">
        <v>86</v>
      </c>
      <c r="K18" s="106">
        <f>(10*8-10)-5</f>
        <v>65</v>
      </c>
      <c r="L18" s="107">
        <f>(15*8-10)-2</f>
        <v>108</v>
      </c>
      <c r="M18" s="107">
        <f>(15*8-10+2*12)-2</f>
        <v>132</v>
      </c>
      <c r="N18" s="108">
        <f>(15*8-10+4*12)-2</f>
        <v>156</v>
      </c>
      <c r="O18" s="109">
        <f t="shared" si="17"/>
        <v>292.5</v>
      </c>
      <c r="P18" s="110">
        <f t="shared" si="4"/>
        <v>486</v>
      </c>
      <c r="Q18" s="110">
        <f t="shared" si="4"/>
        <v>594</v>
      </c>
      <c r="R18" s="111">
        <f t="shared" si="4"/>
        <v>702</v>
      </c>
      <c r="S18" s="112">
        <f t="shared" si="18"/>
        <v>6084</v>
      </c>
      <c r="T18" s="110">
        <f t="shared" si="5"/>
        <v>10108.800000000001</v>
      </c>
      <c r="U18" s="110">
        <f t="shared" si="5"/>
        <v>12355.2</v>
      </c>
      <c r="V18" s="111">
        <f t="shared" si="5"/>
        <v>14601.6</v>
      </c>
      <c r="W18" s="113">
        <v>0.83</v>
      </c>
      <c r="X18" s="114">
        <f t="shared" si="19"/>
        <v>242.77499999999998</v>
      </c>
      <c r="Y18" s="115">
        <f t="shared" si="6"/>
        <v>403.38</v>
      </c>
      <c r="Z18" s="115">
        <f t="shared" si="6"/>
        <v>493.02</v>
      </c>
      <c r="AA18" s="116">
        <f t="shared" si="6"/>
        <v>582.66</v>
      </c>
      <c r="AB18" s="117">
        <f t="shared" si="6"/>
        <v>5049.7199999999993</v>
      </c>
      <c r="AC18" s="118">
        <f t="shared" si="7"/>
        <v>8390.3040000000001</v>
      </c>
      <c r="AD18" s="118">
        <f t="shared" si="7"/>
        <v>10254.816000000001</v>
      </c>
      <c r="AE18" s="119">
        <f t="shared" si="7"/>
        <v>12119.328</v>
      </c>
      <c r="AF18" s="81"/>
      <c r="AG18" s="120">
        <f t="shared" si="8"/>
        <v>0</v>
      </c>
      <c r="AH18" s="121">
        <f t="shared" si="9"/>
        <v>0</v>
      </c>
      <c r="AI18" s="122">
        <f t="shared" si="10"/>
        <v>0</v>
      </c>
      <c r="AJ18" s="123">
        <v>0.9</v>
      </c>
      <c r="AL18" s="87"/>
      <c r="AM18" s="87"/>
      <c r="AN18" s="88"/>
      <c r="AY18" s="89"/>
      <c r="AZ18" s="90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2"/>
      <c r="BL18" s="88"/>
      <c r="BW18" s="89"/>
      <c r="BX18" s="96"/>
      <c r="BY18" s="97"/>
      <c r="BZ18" s="97"/>
      <c r="CA18" s="97"/>
      <c r="CB18" s="97"/>
      <c r="CC18" s="97"/>
      <c r="CD18" s="97"/>
      <c r="CE18" s="97"/>
      <c r="CF18" s="97"/>
      <c r="CG18" s="97"/>
      <c r="CH18" s="97"/>
      <c r="CI18" s="98"/>
      <c r="CJ18" s="96">
        <f t="shared" si="23"/>
        <v>0</v>
      </c>
      <c r="CK18" s="97">
        <f t="shared" si="16"/>
        <v>0</v>
      </c>
      <c r="CL18" s="97">
        <f t="shared" si="16"/>
        <v>0</v>
      </c>
      <c r="CM18" s="97">
        <f t="shared" si="16"/>
        <v>0</v>
      </c>
      <c r="CN18" s="97">
        <f t="shared" si="16"/>
        <v>0</v>
      </c>
      <c r="CO18" s="97">
        <f t="shared" si="16"/>
        <v>0</v>
      </c>
      <c r="CP18" s="97">
        <f t="shared" si="16"/>
        <v>0</v>
      </c>
      <c r="CQ18" s="97">
        <f t="shared" si="16"/>
        <v>0</v>
      </c>
      <c r="CR18" s="97">
        <f t="shared" si="16"/>
        <v>0</v>
      </c>
      <c r="CS18" s="97">
        <f t="shared" si="16"/>
        <v>0</v>
      </c>
      <c r="CT18" s="97">
        <f t="shared" si="16"/>
        <v>0</v>
      </c>
      <c r="CU18" s="98">
        <f t="shared" si="16"/>
        <v>0</v>
      </c>
      <c r="CV18" s="99">
        <f t="shared" si="24"/>
        <v>0</v>
      </c>
      <c r="CW18" s="99">
        <f t="shared" si="25"/>
        <v>0</v>
      </c>
    </row>
    <row r="19" spans="1:101" collapsed="1" x14ac:dyDescent="0.35">
      <c r="A19">
        <v>17</v>
      </c>
      <c r="B19" s="100" t="s">
        <v>77</v>
      </c>
      <c r="C19" s="127" t="s">
        <v>89</v>
      </c>
      <c r="D19" s="125">
        <v>2035</v>
      </c>
      <c r="E19" s="103"/>
      <c r="F19" s="104" t="s">
        <v>90</v>
      </c>
      <c r="G19" s="63">
        <v>0.3</v>
      </c>
      <c r="H19" s="105" t="s">
        <v>85</v>
      </c>
      <c r="I19" s="65" t="s">
        <v>91</v>
      </c>
      <c r="J19" s="66" t="s">
        <v>92</v>
      </c>
      <c r="K19" s="106">
        <f>(10*8-19)-5</f>
        <v>56</v>
      </c>
      <c r="L19" s="107">
        <f>(15*8-19)-2</f>
        <v>99</v>
      </c>
      <c r="M19" s="107">
        <f>(15*8-19+2*12)-2</f>
        <v>123</v>
      </c>
      <c r="N19" s="108">
        <f>(15*8-19+4*12)-2</f>
        <v>147</v>
      </c>
      <c r="O19" s="109">
        <f t="shared" si="17"/>
        <v>113.96</v>
      </c>
      <c r="P19" s="110">
        <f t="shared" si="4"/>
        <v>201.465</v>
      </c>
      <c r="Q19" s="110">
        <f t="shared" si="4"/>
        <v>250.30500000000001</v>
      </c>
      <c r="R19" s="111">
        <f t="shared" si="4"/>
        <v>299.14499999999998</v>
      </c>
      <c r="S19" s="112">
        <f t="shared" si="18"/>
        <v>1777.7759999999998</v>
      </c>
      <c r="T19" s="110">
        <f t="shared" si="5"/>
        <v>3142.8539999999998</v>
      </c>
      <c r="U19" s="110">
        <f t="shared" si="5"/>
        <v>3904.7579999999998</v>
      </c>
      <c r="V19" s="111">
        <f t="shared" si="5"/>
        <v>4666.6620000000003</v>
      </c>
      <c r="W19" s="113">
        <f>AVERAGE(W20:W22)</f>
        <v>0.82433333333333325</v>
      </c>
      <c r="X19" s="114">
        <f t="shared" si="19"/>
        <v>93.941026666666659</v>
      </c>
      <c r="Y19" s="115">
        <f t="shared" si="6"/>
        <v>166.07431499999998</v>
      </c>
      <c r="Z19" s="115">
        <f t="shared" si="6"/>
        <v>206.33475499999997</v>
      </c>
      <c r="AA19" s="116">
        <f t="shared" si="6"/>
        <v>246.59519499999996</v>
      </c>
      <c r="AB19" s="117">
        <f t="shared" si="6"/>
        <v>1465.4800159999998</v>
      </c>
      <c r="AC19" s="118">
        <f t="shared" si="7"/>
        <v>2590.7593139999994</v>
      </c>
      <c r="AD19" s="118">
        <f t="shared" si="7"/>
        <v>3218.8221779999994</v>
      </c>
      <c r="AE19" s="119">
        <f t="shared" si="7"/>
        <v>3846.8850419999999</v>
      </c>
      <c r="AF19" s="81" t="s">
        <v>32</v>
      </c>
      <c r="AG19" s="120">
        <f t="shared" si="8"/>
        <v>8635.8643799999991</v>
      </c>
      <c r="AH19" s="121">
        <f t="shared" si="9"/>
        <v>714.11955449999994</v>
      </c>
      <c r="AI19" s="122">
        <f t="shared" si="10"/>
        <v>2590.7593139999994</v>
      </c>
      <c r="AJ19" s="123">
        <v>0.8</v>
      </c>
      <c r="AK19" s="86">
        <v>3682</v>
      </c>
      <c r="AL19" s="87">
        <f>AK19/AG19</f>
        <v>0.42636148947952796</v>
      </c>
      <c r="AM19" s="87">
        <f t="shared" si="20"/>
        <v>0.5329518618494099</v>
      </c>
      <c r="AN19" s="88">
        <v>238.13075862573501</v>
      </c>
      <c r="AO19">
        <v>256.50215344715798</v>
      </c>
      <c r="AP19">
        <v>243.43682573307399</v>
      </c>
      <c r="AQ19">
        <v>301.75031466538695</v>
      </c>
      <c r="AR19">
        <v>400.51718272965695</v>
      </c>
      <c r="AS19">
        <v>411.00219089556094</v>
      </c>
      <c r="AT19">
        <v>314.17548603456891</v>
      </c>
      <c r="AU19">
        <v>290.66925387336204</v>
      </c>
      <c r="AV19">
        <v>358.60762090412783</v>
      </c>
      <c r="AW19">
        <v>295.61980600349614</v>
      </c>
      <c r="AX19">
        <v>296.64061569203506</v>
      </c>
      <c r="AY19" s="89">
        <v>274.64013111474617</v>
      </c>
      <c r="AZ19" s="90">
        <f t="shared" ref="AZ19:BK19" si="29">AZ$1*HLOOKUP($AF19,$X$3:$AA$84,$A19,FALSE)</f>
        <v>830.37157499999989</v>
      </c>
      <c r="BA19" s="91">
        <f t="shared" si="29"/>
        <v>664.29725999999994</v>
      </c>
      <c r="BB19" s="91">
        <f t="shared" si="29"/>
        <v>664.29725999999994</v>
      </c>
      <c r="BC19" s="91">
        <f t="shared" si="29"/>
        <v>830.37157499999989</v>
      </c>
      <c r="BD19" s="91">
        <f t="shared" si="29"/>
        <v>664.29725999999994</v>
      </c>
      <c r="BE19" s="91">
        <f t="shared" si="29"/>
        <v>664.29725999999994</v>
      </c>
      <c r="BF19" s="91">
        <f t="shared" si="29"/>
        <v>830.37157499999989</v>
      </c>
      <c r="BG19" s="91">
        <f t="shared" si="29"/>
        <v>664.29725999999994</v>
      </c>
      <c r="BH19" s="91">
        <f t="shared" si="29"/>
        <v>664.29725999999994</v>
      </c>
      <c r="BI19" s="91">
        <f t="shared" si="29"/>
        <v>830.37157499999989</v>
      </c>
      <c r="BJ19" s="91">
        <f t="shared" si="29"/>
        <v>664.29725999999994</v>
      </c>
      <c r="BK19" s="92">
        <f t="shared" si="29"/>
        <v>664.29725999999994</v>
      </c>
      <c r="BL19" s="93">
        <f t="shared" ref="BL19:BW19" si="30">AN19/AZ19</f>
        <v>0.28677614431314685</v>
      </c>
      <c r="BM19" s="94">
        <f t="shared" si="30"/>
        <v>0.38612556289507804</v>
      </c>
      <c r="BN19" s="94">
        <f t="shared" si="30"/>
        <v>0.36645766946724123</v>
      </c>
      <c r="BO19" s="94">
        <f t="shared" si="30"/>
        <v>0.36339191242834512</v>
      </c>
      <c r="BP19" s="94">
        <f t="shared" si="30"/>
        <v>0.60291861316672746</v>
      </c>
      <c r="BQ19" s="94">
        <f t="shared" si="30"/>
        <v>0.61870222209792192</v>
      </c>
      <c r="BR19" s="94">
        <f t="shared" si="30"/>
        <v>0.37835529959532749</v>
      </c>
      <c r="BS19" s="94">
        <f t="shared" si="30"/>
        <v>0.43755901367613959</v>
      </c>
      <c r="BT19" s="94">
        <f t="shared" si="30"/>
        <v>0.53983004672355239</v>
      </c>
      <c r="BU19" s="94">
        <f t="shared" si="30"/>
        <v>0.35600906257357878</v>
      </c>
      <c r="BV19" s="94">
        <f t="shared" si="30"/>
        <v>0.44654800426549268</v>
      </c>
      <c r="BW19" s="95">
        <f t="shared" si="30"/>
        <v>0.41342957084415222</v>
      </c>
      <c r="BX19" s="96">
        <f t="shared" si="22"/>
        <v>592.24081637426491</v>
      </c>
      <c r="BY19" s="97">
        <f t="shared" si="15"/>
        <v>407.79510655284196</v>
      </c>
      <c r="BZ19" s="97">
        <f t="shared" si="15"/>
        <v>420.86043426692595</v>
      </c>
      <c r="CA19" s="97">
        <f t="shared" si="15"/>
        <v>528.621260334613</v>
      </c>
      <c r="CB19" s="97">
        <f t="shared" si="15"/>
        <v>263.78007727034299</v>
      </c>
      <c r="CC19" s="97">
        <f t="shared" si="15"/>
        <v>253.29506910443899</v>
      </c>
      <c r="CD19" s="97">
        <f t="shared" si="15"/>
        <v>516.19608896543104</v>
      </c>
      <c r="CE19" s="97">
        <f t="shared" si="15"/>
        <v>373.6280061266379</v>
      </c>
      <c r="CF19" s="97">
        <f t="shared" si="15"/>
        <v>305.68963909587211</v>
      </c>
      <c r="CG19" s="97">
        <f t="shared" si="15"/>
        <v>534.75176899650376</v>
      </c>
      <c r="CH19" s="97">
        <f t="shared" si="15"/>
        <v>367.65664430796488</v>
      </c>
      <c r="CI19" s="98">
        <f t="shared" si="15"/>
        <v>389.65712888525377</v>
      </c>
      <c r="CJ19" s="96">
        <f t="shared" si="23"/>
        <v>473.79265309941195</v>
      </c>
      <c r="CK19" s="97">
        <f t="shared" si="16"/>
        <v>326.23608524227359</v>
      </c>
      <c r="CL19" s="97">
        <f t="shared" si="16"/>
        <v>336.68834741354078</v>
      </c>
      <c r="CM19" s="97">
        <f t="shared" si="16"/>
        <v>422.89700826769041</v>
      </c>
      <c r="CN19" s="97">
        <f t="shared" si="16"/>
        <v>211.02406181627441</v>
      </c>
      <c r="CO19" s="97">
        <f t="shared" si="16"/>
        <v>202.6360552835512</v>
      </c>
      <c r="CP19" s="97">
        <f t="shared" si="16"/>
        <v>412.95687117234485</v>
      </c>
      <c r="CQ19" s="97">
        <f t="shared" si="16"/>
        <v>298.90240490131032</v>
      </c>
      <c r="CR19" s="97">
        <f t="shared" si="16"/>
        <v>244.55171127669769</v>
      </c>
      <c r="CS19" s="97">
        <f t="shared" si="16"/>
        <v>427.80141519720303</v>
      </c>
      <c r="CT19" s="97">
        <f t="shared" si="16"/>
        <v>294.12531544637193</v>
      </c>
      <c r="CU19" s="98">
        <f t="shared" si="16"/>
        <v>311.72570310820305</v>
      </c>
      <c r="CV19" s="99">
        <f>SUM(AZ19:BK19)*AJ19</f>
        <v>6908.6915040000013</v>
      </c>
      <c r="CW19" s="99">
        <f t="shared" si="25"/>
        <v>2072.6074511999996</v>
      </c>
    </row>
    <row r="20" spans="1:101" hidden="1" outlineLevel="1" x14ac:dyDescent="0.35">
      <c r="A20">
        <v>18</v>
      </c>
      <c r="B20" s="100" t="s">
        <v>77</v>
      </c>
      <c r="C20" s="101" t="s">
        <v>89</v>
      </c>
      <c r="D20" s="102">
        <v>2475</v>
      </c>
      <c r="E20" s="103" t="s">
        <v>93</v>
      </c>
      <c r="F20" s="104" t="s">
        <v>94</v>
      </c>
      <c r="G20" s="63">
        <v>0.24</v>
      </c>
      <c r="H20" s="105" t="s">
        <v>95</v>
      </c>
      <c r="I20" s="63" t="s">
        <v>91</v>
      </c>
      <c r="J20" s="105" t="s">
        <v>92</v>
      </c>
      <c r="K20" s="106">
        <f>(10*8-19)-5</f>
        <v>56</v>
      </c>
      <c r="L20" s="107">
        <f>(15*8-19)-2</f>
        <v>99</v>
      </c>
      <c r="M20" s="107">
        <f>(15*8-19+2*12)-2</f>
        <v>123</v>
      </c>
      <c r="N20" s="108">
        <f>(15*8-19+4*12)-2</f>
        <v>147</v>
      </c>
      <c r="O20" s="109">
        <f t="shared" si="17"/>
        <v>138.6</v>
      </c>
      <c r="P20" s="110">
        <f t="shared" si="4"/>
        <v>245.02500000000001</v>
      </c>
      <c r="Q20" s="110">
        <f t="shared" si="4"/>
        <v>304.42500000000001</v>
      </c>
      <c r="R20" s="111">
        <f t="shared" si="4"/>
        <v>363.82499999999999</v>
      </c>
      <c r="S20" s="112">
        <f t="shared" si="18"/>
        <v>1729.7279999999998</v>
      </c>
      <c r="T20" s="110">
        <f t="shared" si="5"/>
        <v>3057.9119999999998</v>
      </c>
      <c r="U20" s="110">
        <f t="shared" si="5"/>
        <v>3799.2239999999997</v>
      </c>
      <c r="V20" s="111">
        <f t="shared" si="5"/>
        <v>4540.5360000000001</v>
      </c>
      <c r="W20" s="113">
        <v>0.89</v>
      </c>
      <c r="X20" s="114">
        <f t="shared" si="19"/>
        <v>123.354</v>
      </c>
      <c r="Y20" s="115">
        <f t="shared" si="6"/>
        <v>218.07225</v>
      </c>
      <c r="Z20" s="115">
        <f t="shared" si="6"/>
        <v>270.93825000000004</v>
      </c>
      <c r="AA20" s="116">
        <f t="shared" si="6"/>
        <v>323.80424999999997</v>
      </c>
      <c r="AB20" s="117">
        <f t="shared" si="6"/>
        <v>1539.4579199999998</v>
      </c>
      <c r="AC20" s="118">
        <f t="shared" si="7"/>
        <v>2721.5416799999998</v>
      </c>
      <c r="AD20" s="118">
        <f t="shared" si="7"/>
        <v>3381.3093599999997</v>
      </c>
      <c r="AE20" s="119">
        <f t="shared" si="7"/>
        <v>4041.0770400000001</v>
      </c>
      <c r="AF20" s="81"/>
      <c r="AG20" s="120">
        <f t="shared" si="8"/>
        <v>0</v>
      </c>
      <c r="AH20" s="121">
        <f t="shared" si="9"/>
        <v>0</v>
      </c>
      <c r="AI20" s="122">
        <f t="shared" si="10"/>
        <v>0</v>
      </c>
      <c r="AJ20" s="123">
        <v>0.75</v>
      </c>
      <c r="AL20" s="87"/>
      <c r="AM20" s="87"/>
      <c r="AN20" s="88"/>
      <c r="AY20" s="89"/>
      <c r="AZ20" s="90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2"/>
      <c r="BL20" s="88"/>
      <c r="BW20" s="89"/>
      <c r="BX20" s="96"/>
      <c r="BY20" s="97"/>
      <c r="BZ20" s="97"/>
      <c r="CA20" s="97"/>
      <c r="CB20" s="97"/>
      <c r="CC20" s="97"/>
      <c r="CD20" s="97"/>
      <c r="CE20" s="97"/>
      <c r="CF20" s="97"/>
      <c r="CG20" s="97"/>
      <c r="CH20" s="97"/>
      <c r="CI20" s="98"/>
      <c r="CJ20" s="96">
        <f t="shared" si="23"/>
        <v>0</v>
      </c>
      <c r="CK20" s="97">
        <f t="shared" si="23"/>
        <v>0</v>
      </c>
      <c r="CL20" s="97">
        <f t="shared" si="23"/>
        <v>0</v>
      </c>
      <c r="CM20" s="97">
        <f t="shared" si="23"/>
        <v>0</v>
      </c>
      <c r="CN20" s="97">
        <f t="shared" si="23"/>
        <v>0</v>
      </c>
      <c r="CO20" s="97">
        <f t="shared" si="23"/>
        <v>0</v>
      </c>
      <c r="CP20" s="97">
        <f t="shared" si="23"/>
        <v>0</v>
      </c>
      <c r="CQ20" s="97">
        <f t="shared" si="23"/>
        <v>0</v>
      </c>
      <c r="CR20" s="97">
        <f t="shared" si="23"/>
        <v>0</v>
      </c>
      <c r="CS20" s="97">
        <f t="shared" si="23"/>
        <v>0</v>
      </c>
      <c r="CT20" s="97">
        <f t="shared" si="23"/>
        <v>0</v>
      </c>
      <c r="CU20" s="98">
        <f t="shared" si="23"/>
        <v>0</v>
      </c>
      <c r="CV20" s="99">
        <f t="shared" si="24"/>
        <v>0</v>
      </c>
      <c r="CW20" s="99">
        <f t="shared" si="25"/>
        <v>0</v>
      </c>
    </row>
    <row r="21" spans="1:101" hidden="1" outlineLevel="1" x14ac:dyDescent="0.35">
      <c r="A21">
        <v>19</v>
      </c>
      <c r="B21" s="100" t="s">
        <v>77</v>
      </c>
      <c r="C21" s="101" t="s">
        <v>89</v>
      </c>
      <c r="D21" s="102">
        <v>1980</v>
      </c>
      <c r="E21" s="103" t="s">
        <v>93</v>
      </c>
      <c r="F21" s="104" t="s">
        <v>94</v>
      </c>
      <c r="G21" s="63">
        <v>0.3</v>
      </c>
      <c r="H21" s="105" t="s">
        <v>96</v>
      </c>
      <c r="I21" s="63" t="s">
        <v>91</v>
      </c>
      <c r="J21" s="105" t="s">
        <v>92</v>
      </c>
      <c r="K21" s="106">
        <f>(10*8-19)-5</f>
        <v>56</v>
      </c>
      <c r="L21" s="107">
        <f>(15*8-19)-2</f>
        <v>99</v>
      </c>
      <c r="M21" s="107">
        <f>(15*8-19+2*12)-2</f>
        <v>123</v>
      </c>
      <c r="N21" s="108">
        <f>(15*8-19+4*12)-2</f>
        <v>147</v>
      </c>
      <c r="O21" s="109">
        <f t="shared" si="17"/>
        <v>110.88</v>
      </c>
      <c r="P21" s="110">
        <f t="shared" si="4"/>
        <v>196.02</v>
      </c>
      <c r="Q21" s="110">
        <f t="shared" si="4"/>
        <v>243.54</v>
      </c>
      <c r="R21" s="111">
        <f t="shared" si="4"/>
        <v>291.06</v>
      </c>
      <c r="S21" s="112">
        <f t="shared" si="18"/>
        <v>1729.7279999999998</v>
      </c>
      <c r="T21" s="110">
        <f t="shared" si="5"/>
        <v>3057.9119999999998</v>
      </c>
      <c r="U21" s="110">
        <f t="shared" si="5"/>
        <v>3799.2239999999997</v>
      </c>
      <c r="V21" s="111">
        <f t="shared" si="5"/>
        <v>4540.5360000000001</v>
      </c>
      <c r="W21" s="113">
        <v>0.76500000000000001</v>
      </c>
      <c r="X21" s="114">
        <f t="shared" si="19"/>
        <v>84.8232</v>
      </c>
      <c r="Y21" s="115">
        <f t="shared" si="6"/>
        <v>149.95530000000002</v>
      </c>
      <c r="Z21" s="115">
        <f t="shared" si="6"/>
        <v>186.3081</v>
      </c>
      <c r="AA21" s="116">
        <f t="shared" si="6"/>
        <v>222.6609</v>
      </c>
      <c r="AB21" s="117">
        <f t="shared" si="6"/>
        <v>1323.2419199999999</v>
      </c>
      <c r="AC21" s="118">
        <f t="shared" si="7"/>
        <v>2339.3026799999998</v>
      </c>
      <c r="AD21" s="118">
        <f t="shared" si="7"/>
        <v>2906.4063599999999</v>
      </c>
      <c r="AE21" s="119">
        <f t="shared" si="7"/>
        <v>3473.5100400000001</v>
      </c>
      <c r="AF21" s="81"/>
      <c r="AG21" s="120">
        <f t="shared" si="8"/>
        <v>0</v>
      </c>
      <c r="AH21" s="121">
        <f t="shared" si="9"/>
        <v>0</v>
      </c>
      <c r="AI21" s="122">
        <f t="shared" si="10"/>
        <v>0</v>
      </c>
      <c r="AJ21" s="123">
        <v>0.75</v>
      </c>
      <c r="AL21" s="87"/>
      <c r="AM21" s="87"/>
      <c r="AN21" s="88"/>
      <c r="AY21" s="89"/>
      <c r="AZ21" s="90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2"/>
      <c r="BL21" s="88"/>
      <c r="BW21" s="89"/>
      <c r="BX21" s="96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8"/>
      <c r="CJ21" s="96">
        <f t="shared" si="23"/>
        <v>0</v>
      </c>
      <c r="CK21" s="97">
        <f t="shared" si="23"/>
        <v>0</v>
      </c>
      <c r="CL21" s="97">
        <f t="shared" si="23"/>
        <v>0</v>
      </c>
      <c r="CM21" s="97">
        <f t="shared" si="23"/>
        <v>0</v>
      </c>
      <c r="CN21" s="97">
        <f t="shared" si="23"/>
        <v>0</v>
      </c>
      <c r="CO21" s="97">
        <f t="shared" si="23"/>
        <v>0</v>
      </c>
      <c r="CP21" s="97">
        <f t="shared" si="23"/>
        <v>0</v>
      </c>
      <c r="CQ21" s="97">
        <f t="shared" si="23"/>
        <v>0</v>
      </c>
      <c r="CR21" s="97">
        <f t="shared" si="23"/>
        <v>0</v>
      </c>
      <c r="CS21" s="97">
        <f t="shared" si="23"/>
        <v>0</v>
      </c>
      <c r="CT21" s="97">
        <f t="shared" si="23"/>
        <v>0</v>
      </c>
      <c r="CU21" s="98">
        <f t="shared" si="23"/>
        <v>0</v>
      </c>
      <c r="CV21" s="99">
        <f t="shared" si="24"/>
        <v>0</v>
      </c>
      <c r="CW21" s="99">
        <f t="shared" si="25"/>
        <v>0</v>
      </c>
    </row>
    <row r="22" spans="1:101" hidden="1" outlineLevel="1" x14ac:dyDescent="0.35">
      <c r="A22">
        <v>20</v>
      </c>
      <c r="B22" s="100" t="s">
        <v>77</v>
      </c>
      <c r="C22" s="101" t="s">
        <v>89</v>
      </c>
      <c r="D22" s="102">
        <v>1650</v>
      </c>
      <c r="E22" s="103" t="s">
        <v>93</v>
      </c>
      <c r="F22" s="104" t="s">
        <v>97</v>
      </c>
      <c r="G22" s="63">
        <v>0.39</v>
      </c>
      <c r="H22" s="105" t="s">
        <v>98</v>
      </c>
      <c r="I22" s="128" t="s">
        <v>99</v>
      </c>
      <c r="J22" s="105" t="s">
        <v>92</v>
      </c>
      <c r="K22" s="106">
        <f>(10*8-19)-5</f>
        <v>56</v>
      </c>
      <c r="L22" s="107">
        <f>(15*8-19)-2</f>
        <v>99</v>
      </c>
      <c r="M22" s="107">
        <f>(15*8-19+2*12)-2</f>
        <v>123</v>
      </c>
      <c r="N22" s="108">
        <f>(15*8-19+4*12)-2</f>
        <v>147</v>
      </c>
      <c r="O22" s="109">
        <f t="shared" si="17"/>
        <v>92.4</v>
      </c>
      <c r="P22" s="110">
        <f t="shared" si="17"/>
        <v>163.35</v>
      </c>
      <c r="Q22" s="110">
        <f t="shared" si="17"/>
        <v>202.95</v>
      </c>
      <c r="R22" s="111">
        <f t="shared" si="17"/>
        <v>242.55</v>
      </c>
      <c r="S22" s="112">
        <f t="shared" si="18"/>
        <v>1873.8720000000001</v>
      </c>
      <c r="T22" s="110">
        <f t="shared" si="18"/>
        <v>3312.7379999999998</v>
      </c>
      <c r="U22" s="110">
        <f t="shared" si="18"/>
        <v>4115.826</v>
      </c>
      <c r="V22" s="111">
        <f t="shared" si="18"/>
        <v>4918.9140000000007</v>
      </c>
      <c r="W22" s="113">
        <v>0.81799999999999995</v>
      </c>
      <c r="X22" s="114">
        <f t="shared" si="19"/>
        <v>75.583200000000005</v>
      </c>
      <c r="Y22" s="115">
        <f t="shared" si="19"/>
        <v>133.62029999999999</v>
      </c>
      <c r="Z22" s="115">
        <f t="shared" si="19"/>
        <v>166.01309999999998</v>
      </c>
      <c r="AA22" s="116">
        <f t="shared" si="19"/>
        <v>198.4059</v>
      </c>
      <c r="AB22" s="117">
        <f t="shared" si="19"/>
        <v>1532.8272959999999</v>
      </c>
      <c r="AC22" s="118">
        <f t="shared" si="19"/>
        <v>2709.8196839999996</v>
      </c>
      <c r="AD22" s="118">
        <f t="shared" si="19"/>
        <v>3366.745668</v>
      </c>
      <c r="AE22" s="119">
        <f t="shared" si="19"/>
        <v>4023.6716520000004</v>
      </c>
      <c r="AF22" s="81"/>
      <c r="AG22" s="120">
        <f t="shared" si="8"/>
        <v>0</v>
      </c>
      <c r="AH22" s="121">
        <f t="shared" si="9"/>
        <v>0</v>
      </c>
      <c r="AI22" s="122">
        <f t="shared" si="10"/>
        <v>0</v>
      </c>
      <c r="AJ22" s="123">
        <v>0.9</v>
      </c>
      <c r="AL22" s="87"/>
      <c r="AM22" s="87"/>
      <c r="AN22" s="88"/>
      <c r="AY22" s="89"/>
      <c r="AZ22" s="90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2"/>
      <c r="BL22" s="88"/>
      <c r="BW22" s="89"/>
      <c r="BX22" s="96"/>
      <c r="BY22" s="97"/>
      <c r="BZ22" s="97"/>
      <c r="CA22" s="97"/>
      <c r="CB22" s="97"/>
      <c r="CC22" s="97"/>
      <c r="CD22" s="97"/>
      <c r="CE22" s="97"/>
      <c r="CF22" s="97"/>
      <c r="CG22" s="97"/>
      <c r="CH22" s="97"/>
      <c r="CI22" s="98"/>
      <c r="CJ22" s="96">
        <f t="shared" si="23"/>
        <v>0</v>
      </c>
      <c r="CK22" s="97">
        <f t="shared" si="23"/>
        <v>0</v>
      </c>
      <c r="CL22" s="97">
        <f t="shared" si="23"/>
        <v>0</v>
      </c>
      <c r="CM22" s="97">
        <f t="shared" si="23"/>
        <v>0</v>
      </c>
      <c r="CN22" s="97">
        <f t="shared" si="23"/>
        <v>0</v>
      </c>
      <c r="CO22" s="97">
        <f t="shared" si="23"/>
        <v>0</v>
      </c>
      <c r="CP22" s="97">
        <f t="shared" si="23"/>
        <v>0</v>
      </c>
      <c r="CQ22" s="97">
        <f t="shared" si="23"/>
        <v>0</v>
      </c>
      <c r="CR22" s="97">
        <f t="shared" si="23"/>
        <v>0</v>
      </c>
      <c r="CS22" s="97">
        <f t="shared" si="23"/>
        <v>0</v>
      </c>
      <c r="CT22" s="97">
        <f t="shared" si="23"/>
        <v>0</v>
      </c>
      <c r="CU22" s="98">
        <f t="shared" si="23"/>
        <v>0</v>
      </c>
      <c r="CV22" s="99">
        <f t="shared" si="24"/>
        <v>0</v>
      </c>
      <c r="CW22" s="99">
        <f t="shared" si="25"/>
        <v>0</v>
      </c>
    </row>
    <row r="23" spans="1:101" collapsed="1" x14ac:dyDescent="0.35">
      <c r="A23">
        <v>21</v>
      </c>
      <c r="B23" s="100" t="s">
        <v>77</v>
      </c>
      <c r="C23" s="101" t="s">
        <v>100</v>
      </c>
      <c r="D23" s="102">
        <v>4980</v>
      </c>
      <c r="E23" s="103" t="s">
        <v>101</v>
      </c>
      <c r="F23" s="102" t="s">
        <v>102</v>
      </c>
      <c r="G23" s="63">
        <v>0.26</v>
      </c>
      <c r="H23" s="105" t="s">
        <v>55</v>
      </c>
      <c r="I23" s="65" t="s">
        <v>86</v>
      </c>
      <c r="J23" s="66" t="s">
        <v>103</v>
      </c>
      <c r="K23" s="106">
        <f>(10*8-13)-5</f>
        <v>62</v>
      </c>
      <c r="L23" s="107">
        <f>(15*8-13)-2</f>
        <v>105</v>
      </c>
      <c r="M23" s="107">
        <f>(15*8-13+2*12)-2</f>
        <v>129</v>
      </c>
      <c r="N23" s="108">
        <f>(15*8-13+4*12)-2</f>
        <v>153</v>
      </c>
      <c r="O23" s="109">
        <f t="shared" si="17"/>
        <v>308.76</v>
      </c>
      <c r="P23" s="110">
        <f t="shared" si="17"/>
        <v>522.9</v>
      </c>
      <c r="Q23" s="110">
        <f t="shared" si="17"/>
        <v>642.41999999999996</v>
      </c>
      <c r="R23" s="111">
        <f t="shared" si="17"/>
        <v>761.94</v>
      </c>
      <c r="S23" s="112">
        <f t="shared" si="18"/>
        <v>4174.4351999999999</v>
      </c>
      <c r="T23" s="110">
        <f t="shared" si="18"/>
        <v>7069.6080000000002</v>
      </c>
      <c r="U23" s="110">
        <f t="shared" si="18"/>
        <v>8685.5184000000008</v>
      </c>
      <c r="V23" s="111">
        <f t="shared" si="18"/>
        <v>10301.428800000002</v>
      </c>
      <c r="W23" s="113">
        <v>0.84</v>
      </c>
      <c r="X23" s="114">
        <f t="shared" si="19"/>
        <v>259.35839999999996</v>
      </c>
      <c r="Y23" s="115">
        <f t="shared" si="19"/>
        <v>439.23599999999999</v>
      </c>
      <c r="Z23" s="115">
        <f t="shared" si="19"/>
        <v>539.63279999999997</v>
      </c>
      <c r="AA23" s="116">
        <f t="shared" si="19"/>
        <v>640.02960000000007</v>
      </c>
      <c r="AB23" s="117">
        <f t="shared" si="19"/>
        <v>3506.5255679999996</v>
      </c>
      <c r="AC23" s="118">
        <f t="shared" si="19"/>
        <v>5938.4707200000003</v>
      </c>
      <c r="AD23" s="118">
        <f t="shared" si="19"/>
        <v>7295.8354560000007</v>
      </c>
      <c r="AE23" s="119">
        <f t="shared" si="19"/>
        <v>8653.2001920000002</v>
      </c>
      <c r="AF23" s="81" t="s">
        <v>32</v>
      </c>
      <c r="AG23" s="120">
        <f t="shared" si="8"/>
        <v>22840.272000000001</v>
      </c>
      <c r="AH23" s="121">
        <f t="shared" si="9"/>
        <v>1888.7148</v>
      </c>
      <c r="AI23" s="122">
        <f t="shared" si="10"/>
        <v>5938.4707200000003</v>
      </c>
      <c r="AJ23" s="123">
        <v>0.9</v>
      </c>
      <c r="AK23">
        <v>15784</v>
      </c>
      <c r="AL23" s="87">
        <f>AK23/AG23</f>
        <v>0.69106007143872894</v>
      </c>
      <c r="AM23" s="87">
        <f t="shared" si="20"/>
        <v>0.76784452382080992</v>
      </c>
      <c r="AN23" s="88">
        <v>1698.2320576074233</v>
      </c>
      <c r="AO23">
        <v>1545.7735312100604</v>
      </c>
      <c r="AP23">
        <v>1106.3341173736087</v>
      </c>
      <c r="AQ23">
        <v>1217.4865708010402</v>
      </c>
      <c r="AR23">
        <v>1438.3585407088699</v>
      </c>
      <c r="AS23">
        <v>1178.6747542037203</v>
      </c>
      <c r="AT23">
        <v>1142.895406006071</v>
      </c>
      <c r="AU23">
        <v>1416.2101794685566</v>
      </c>
      <c r="AV23">
        <v>1246.9264840174442</v>
      </c>
      <c r="AW23">
        <v>1337.1766428232565</v>
      </c>
      <c r="AX23">
        <v>1224.2273791280222</v>
      </c>
      <c r="AY23" s="89">
        <v>1232.5753033145431</v>
      </c>
      <c r="AZ23" s="90">
        <f t="shared" ref="AZ23:BK28" si="31">AZ$1*HLOOKUP($AF23,$X$3:$AA$84,$A23,FALSE)</f>
        <v>2196.1799999999998</v>
      </c>
      <c r="BA23" s="91">
        <f t="shared" si="31"/>
        <v>1756.944</v>
      </c>
      <c r="BB23" s="91">
        <f t="shared" si="31"/>
        <v>1756.944</v>
      </c>
      <c r="BC23" s="91">
        <f t="shared" si="31"/>
        <v>2196.1799999999998</v>
      </c>
      <c r="BD23" s="91">
        <f t="shared" si="31"/>
        <v>1756.944</v>
      </c>
      <c r="BE23" s="91">
        <f t="shared" si="31"/>
        <v>1756.944</v>
      </c>
      <c r="BF23" s="91">
        <f t="shared" si="31"/>
        <v>2196.1799999999998</v>
      </c>
      <c r="BG23" s="91">
        <f t="shared" si="31"/>
        <v>1756.944</v>
      </c>
      <c r="BH23" s="91">
        <f t="shared" si="31"/>
        <v>1756.944</v>
      </c>
      <c r="BI23" s="91">
        <f t="shared" si="31"/>
        <v>2196.1799999999998</v>
      </c>
      <c r="BJ23" s="91">
        <f t="shared" si="31"/>
        <v>1756.944</v>
      </c>
      <c r="BK23" s="92">
        <f t="shared" si="31"/>
        <v>1756.944</v>
      </c>
      <c r="BL23" s="93">
        <f t="shared" ref="BL23:BW28" si="32">AN23/AZ23</f>
        <v>0.77326633409257139</v>
      </c>
      <c r="BM23" s="94">
        <f t="shared" si="32"/>
        <v>0.87980808222120932</v>
      </c>
      <c r="BN23" s="94">
        <f t="shared" si="32"/>
        <v>0.62969230514666874</v>
      </c>
      <c r="BO23" s="94">
        <f t="shared" si="32"/>
        <v>0.55436556693943129</v>
      </c>
      <c r="BP23" s="94">
        <f t="shared" si="32"/>
        <v>0.81867068085771089</v>
      </c>
      <c r="BQ23" s="94">
        <f t="shared" si="32"/>
        <v>0.67086643296753934</v>
      </c>
      <c r="BR23" s="94">
        <f t="shared" si="32"/>
        <v>0.52040151809326696</v>
      </c>
      <c r="BS23" s="94">
        <f t="shared" si="32"/>
        <v>0.80606449577707462</v>
      </c>
      <c r="BT23" s="94">
        <f t="shared" si="32"/>
        <v>0.70971327715478938</v>
      </c>
      <c r="BU23" s="94">
        <f t="shared" si="32"/>
        <v>0.60886477557543395</v>
      </c>
      <c r="BV23" s="94">
        <f t="shared" si="32"/>
        <v>0.69679362525386257</v>
      </c>
      <c r="BW23" s="95">
        <f t="shared" si="32"/>
        <v>0.70154501413507953</v>
      </c>
      <c r="BX23" s="96">
        <f t="shared" si="22"/>
        <v>497.94794239257658</v>
      </c>
      <c r="BY23" s="97">
        <f t="shared" si="22"/>
        <v>211.1704687899396</v>
      </c>
      <c r="BZ23" s="97">
        <f t="shared" si="22"/>
        <v>650.60988262639125</v>
      </c>
      <c r="CA23" s="97">
        <f t="shared" si="22"/>
        <v>978.69342919895962</v>
      </c>
      <c r="CB23" s="97">
        <f t="shared" si="22"/>
        <v>318.58545929113006</v>
      </c>
      <c r="CC23" s="97">
        <f t="shared" si="22"/>
        <v>578.26924579627962</v>
      </c>
      <c r="CD23" s="97">
        <f t="shared" si="22"/>
        <v>1053.2845939939289</v>
      </c>
      <c r="CE23" s="97">
        <f t="shared" si="22"/>
        <v>340.73382053144337</v>
      </c>
      <c r="CF23" s="97">
        <f t="shared" si="22"/>
        <v>510.01751598255578</v>
      </c>
      <c r="CG23" s="97">
        <f t="shared" si="22"/>
        <v>859.00335717674329</v>
      </c>
      <c r="CH23" s="97">
        <f t="shared" si="22"/>
        <v>532.71662087197774</v>
      </c>
      <c r="CI23" s="98">
        <f t="shared" si="22"/>
        <v>524.36869668545683</v>
      </c>
      <c r="CJ23" s="96">
        <f t="shared" si="23"/>
        <v>448.15314815331891</v>
      </c>
      <c r="CK23" s="97">
        <f t="shared" si="23"/>
        <v>190.05342191094564</v>
      </c>
      <c r="CL23" s="97">
        <f t="shared" si="23"/>
        <v>585.5488943637522</v>
      </c>
      <c r="CM23" s="97">
        <f t="shared" si="23"/>
        <v>880.82408627906364</v>
      </c>
      <c r="CN23" s="97">
        <f t="shared" si="23"/>
        <v>286.72691336201706</v>
      </c>
      <c r="CO23" s="97">
        <f t="shared" si="23"/>
        <v>520.44232121665164</v>
      </c>
      <c r="CP23" s="97">
        <f t="shared" si="23"/>
        <v>947.95613459453602</v>
      </c>
      <c r="CQ23" s="97">
        <f t="shared" si="23"/>
        <v>306.66043847829906</v>
      </c>
      <c r="CR23" s="97">
        <f t="shared" si="23"/>
        <v>459.01576438430021</v>
      </c>
      <c r="CS23" s="97">
        <f t="shared" si="23"/>
        <v>773.10302145906894</v>
      </c>
      <c r="CT23" s="97">
        <f t="shared" si="23"/>
        <v>479.44495878478</v>
      </c>
      <c r="CU23" s="98">
        <f t="shared" si="23"/>
        <v>471.93182701691114</v>
      </c>
      <c r="CV23" s="99">
        <f t="shared" si="24"/>
        <v>20556.244799999997</v>
      </c>
      <c r="CW23" s="99">
        <f t="shared" si="25"/>
        <v>5344.6236480000007</v>
      </c>
    </row>
    <row r="24" spans="1:101" x14ac:dyDescent="0.35">
      <c r="A24">
        <v>22</v>
      </c>
      <c r="B24" s="100" t="s">
        <v>104</v>
      </c>
      <c r="C24" s="101" t="s">
        <v>105</v>
      </c>
      <c r="D24" s="102">
        <v>4800</v>
      </c>
      <c r="E24" s="103" t="s">
        <v>106</v>
      </c>
      <c r="F24" s="102" t="s">
        <v>54</v>
      </c>
      <c r="G24" s="63">
        <v>0.23100000000000001</v>
      </c>
      <c r="H24" s="105" t="s">
        <v>61</v>
      </c>
      <c r="I24" s="65" t="s">
        <v>56</v>
      </c>
      <c r="J24" s="66" t="s">
        <v>56</v>
      </c>
      <c r="K24" s="106">
        <f>(10*8)-5</f>
        <v>75</v>
      </c>
      <c r="L24" s="107">
        <f>((15-1.5)*8)-2</f>
        <v>106</v>
      </c>
      <c r="M24" s="107">
        <f>((15-1.5)*8+2*12)-2</f>
        <v>130</v>
      </c>
      <c r="N24" s="108">
        <f t="shared" ref="N24:N34" si="33">((21-1.5)*8)-2</f>
        <v>154</v>
      </c>
      <c r="O24" s="109">
        <f t="shared" si="17"/>
        <v>360</v>
      </c>
      <c r="P24" s="110">
        <f t="shared" si="17"/>
        <v>508.8</v>
      </c>
      <c r="Q24" s="110">
        <f t="shared" si="17"/>
        <v>624</v>
      </c>
      <c r="R24" s="111">
        <f t="shared" si="17"/>
        <v>739.2</v>
      </c>
      <c r="S24" s="112">
        <f t="shared" si="18"/>
        <v>4324.3200000000006</v>
      </c>
      <c r="T24" s="110">
        <f t="shared" si="18"/>
        <v>6111.7056000000002</v>
      </c>
      <c r="U24" s="110">
        <f t="shared" si="18"/>
        <v>7495.4880000000003</v>
      </c>
      <c r="V24" s="111">
        <f t="shared" si="18"/>
        <v>8879.2704000000012</v>
      </c>
      <c r="W24" s="113">
        <v>0.84830000000000005</v>
      </c>
      <c r="X24" s="114">
        <f t="shared" si="19"/>
        <v>305.38800000000003</v>
      </c>
      <c r="Y24" s="115">
        <f t="shared" si="19"/>
        <v>431.61504000000002</v>
      </c>
      <c r="Z24" s="115">
        <f t="shared" si="19"/>
        <v>529.33920000000001</v>
      </c>
      <c r="AA24" s="116">
        <f t="shared" si="19"/>
        <v>627.0633600000001</v>
      </c>
      <c r="AB24" s="117">
        <f t="shared" si="19"/>
        <v>3668.3206560000008</v>
      </c>
      <c r="AC24" s="118">
        <f t="shared" si="19"/>
        <v>5184.5598604800007</v>
      </c>
      <c r="AD24" s="118">
        <f t="shared" si="19"/>
        <v>6358.4224704000007</v>
      </c>
      <c r="AE24" s="119">
        <f t="shared" si="19"/>
        <v>7532.2850803200017</v>
      </c>
      <c r="AF24" s="81"/>
      <c r="AG24" s="120">
        <f t="shared" si="8"/>
        <v>0</v>
      </c>
      <c r="AH24" s="121">
        <f t="shared" si="9"/>
        <v>0</v>
      </c>
      <c r="AI24" s="122">
        <f t="shared" si="10"/>
        <v>0</v>
      </c>
      <c r="AJ24" s="123">
        <v>0.75</v>
      </c>
      <c r="AK24" s="86"/>
      <c r="AL24" s="87"/>
      <c r="AM24" s="87"/>
      <c r="AN24" s="88"/>
      <c r="AY24" s="89"/>
      <c r="AZ24" s="90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2"/>
      <c r="BL24" s="93" t="e">
        <f t="shared" si="32"/>
        <v>#DIV/0!</v>
      </c>
      <c r="BM24" s="94" t="e">
        <f t="shared" si="32"/>
        <v>#DIV/0!</v>
      </c>
      <c r="BN24" s="94" t="e">
        <f t="shared" si="32"/>
        <v>#DIV/0!</v>
      </c>
      <c r="BO24" s="94" t="e">
        <f t="shared" si="32"/>
        <v>#DIV/0!</v>
      </c>
      <c r="BP24" s="94" t="e">
        <f t="shared" si="32"/>
        <v>#DIV/0!</v>
      </c>
      <c r="BQ24" s="94" t="e">
        <f t="shared" si="32"/>
        <v>#DIV/0!</v>
      </c>
      <c r="BR24" s="94" t="e">
        <f t="shared" si="32"/>
        <v>#DIV/0!</v>
      </c>
      <c r="BS24" s="94" t="e">
        <f t="shared" si="32"/>
        <v>#DIV/0!</v>
      </c>
      <c r="BT24" s="94" t="e">
        <f t="shared" si="32"/>
        <v>#DIV/0!</v>
      </c>
      <c r="BU24" s="94" t="e">
        <f t="shared" si="32"/>
        <v>#DIV/0!</v>
      </c>
      <c r="BV24" s="94" t="e">
        <f t="shared" si="32"/>
        <v>#DIV/0!</v>
      </c>
      <c r="BW24" s="95" t="e">
        <f t="shared" si="32"/>
        <v>#DIV/0!</v>
      </c>
      <c r="BX24" s="96">
        <f t="shared" si="22"/>
        <v>0</v>
      </c>
      <c r="BY24" s="97">
        <f t="shared" si="22"/>
        <v>0</v>
      </c>
      <c r="BZ24" s="97">
        <f t="shared" si="22"/>
        <v>0</v>
      </c>
      <c r="CA24" s="97">
        <f t="shared" si="22"/>
        <v>0</v>
      </c>
      <c r="CB24" s="97">
        <f t="shared" si="22"/>
        <v>0</v>
      </c>
      <c r="CC24" s="97">
        <f t="shared" si="22"/>
        <v>0</v>
      </c>
      <c r="CD24" s="97">
        <f t="shared" si="22"/>
        <v>0</v>
      </c>
      <c r="CE24" s="97">
        <f t="shared" si="22"/>
        <v>0</v>
      </c>
      <c r="CF24" s="97">
        <f t="shared" si="22"/>
        <v>0</v>
      </c>
      <c r="CG24" s="97">
        <f t="shared" si="22"/>
        <v>0</v>
      </c>
      <c r="CH24" s="97">
        <f t="shared" si="22"/>
        <v>0</v>
      </c>
      <c r="CI24" s="98">
        <f t="shared" si="22"/>
        <v>0</v>
      </c>
      <c r="CJ24" s="96">
        <f t="shared" si="23"/>
        <v>0</v>
      </c>
      <c r="CK24" s="97">
        <f t="shared" si="23"/>
        <v>0</v>
      </c>
      <c r="CL24" s="97">
        <f t="shared" si="23"/>
        <v>0</v>
      </c>
      <c r="CM24" s="97">
        <f t="shared" si="23"/>
        <v>0</v>
      </c>
      <c r="CN24" s="97">
        <f t="shared" si="23"/>
        <v>0</v>
      </c>
      <c r="CO24" s="97">
        <f t="shared" si="23"/>
        <v>0</v>
      </c>
      <c r="CP24" s="97">
        <f t="shared" si="23"/>
        <v>0</v>
      </c>
      <c r="CQ24" s="97">
        <f t="shared" si="23"/>
        <v>0</v>
      </c>
      <c r="CR24" s="97">
        <f t="shared" si="23"/>
        <v>0</v>
      </c>
      <c r="CS24" s="97">
        <f t="shared" si="23"/>
        <v>0</v>
      </c>
      <c r="CT24" s="97">
        <f t="shared" si="23"/>
        <v>0</v>
      </c>
      <c r="CU24" s="98">
        <f t="shared" si="23"/>
        <v>0</v>
      </c>
      <c r="CV24" s="99">
        <f t="shared" si="24"/>
        <v>0</v>
      </c>
      <c r="CW24" s="99">
        <f t="shared" si="25"/>
        <v>0</v>
      </c>
    </row>
    <row r="25" spans="1:101" x14ac:dyDescent="0.35">
      <c r="A25">
        <v>23</v>
      </c>
      <c r="B25" s="100" t="s">
        <v>104</v>
      </c>
      <c r="C25" s="101" t="s">
        <v>107</v>
      </c>
      <c r="D25" s="102">
        <v>9300</v>
      </c>
      <c r="E25" s="103" t="s">
        <v>108</v>
      </c>
      <c r="F25" s="102" t="s">
        <v>54</v>
      </c>
      <c r="G25" s="63">
        <v>0.23100000000000001</v>
      </c>
      <c r="H25" s="105" t="s">
        <v>61</v>
      </c>
      <c r="I25" s="65" t="s">
        <v>56</v>
      </c>
      <c r="J25" s="66" t="s">
        <v>56</v>
      </c>
      <c r="K25" s="106">
        <f>(10*8)-5</f>
        <v>75</v>
      </c>
      <c r="L25" s="107">
        <f>((15-1.5)*8)-2</f>
        <v>106</v>
      </c>
      <c r="M25" s="107">
        <f>((15-1.5)*8+2*12)-2</f>
        <v>130</v>
      </c>
      <c r="N25" s="108">
        <f t="shared" si="33"/>
        <v>154</v>
      </c>
      <c r="O25" s="109">
        <f t="shared" si="17"/>
        <v>697.5</v>
      </c>
      <c r="P25" s="110">
        <f t="shared" si="17"/>
        <v>985.8</v>
      </c>
      <c r="Q25" s="110">
        <f t="shared" si="17"/>
        <v>1209</v>
      </c>
      <c r="R25" s="111">
        <f t="shared" si="17"/>
        <v>1432.2</v>
      </c>
      <c r="S25" s="112">
        <f t="shared" si="18"/>
        <v>8378.3700000000008</v>
      </c>
      <c r="T25" s="110">
        <f t="shared" si="18"/>
        <v>11841.429599999999</v>
      </c>
      <c r="U25" s="110">
        <f t="shared" si="18"/>
        <v>14522.508</v>
      </c>
      <c r="V25" s="111">
        <f t="shared" si="18"/>
        <v>17203.5864</v>
      </c>
      <c r="W25" s="113">
        <v>0.81</v>
      </c>
      <c r="X25" s="114">
        <f t="shared" si="19"/>
        <v>564.97500000000002</v>
      </c>
      <c r="Y25" s="115">
        <f t="shared" si="19"/>
        <v>798.49800000000005</v>
      </c>
      <c r="Z25" s="115">
        <f t="shared" si="19"/>
        <v>979.29000000000008</v>
      </c>
      <c r="AA25" s="116">
        <f t="shared" si="19"/>
        <v>1160.0820000000001</v>
      </c>
      <c r="AB25" s="117">
        <f t="shared" si="19"/>
        <v>6786.4797000000008</v>
      </c>
      <c r="AC25" s="118">
        <f t="shared" si="19"/>
        <v>9591.5579760000001</v>
      </c>
      <c r="AD25" s="118">
        <f t="shared" si="19"/>
        <v>11763.23148</v>
      </c>
      <c r="AE25" s="119">
        <f t="shared" si="19"/>
        <v>13934.904984000001</v>
      </c>
      <c r="AF25" s="81" t="s">
        <v>34</v>
      </c>
      <c r="AG25" s="120">
        <f t="shared" si="8"/>
        <v>60324.264000000003</v>
      </c>
      <c r="AH25" s="121">
        <f t="shared" si="9"/>
        <v>4988.3526000000002</v>
      </c>
      <c r="AI25" s="122">
        <f t="shared" si="10"/>
        <v>13934.904984000001</v>
      </c>
      <c r="AJ25" s="123">
        <v>0.75</v>
      </c>
      <c r="AK25" s="86">
        <f>SUM(AN25:AY25)</f>
        <v>40274.155467265686</v>
      </c>
      <c r="AL25" s="87">
        <f>AK25/AG25</f>
        <v>0.66762779678945916</v>
      </c>
      <c r="AM25" s="87">
        <f t="shared" si="20"/>
        <v>0.89017039571927881</v>
      </c>
      <c r="AN25" s="88">
        <v>2917.4366018483597</v>
      </c>
      <c r="AO25">
        <v>2870.7784020552995</v>
      </c>
      <c r="AP25">
        <v>3050.459631880919</v>
      </c>
      <c r="AQ25">
        <v>3862.8117085975009</v>
      </c>
      <c r="AR25">
        <v>4077.4115356765778</v>
      </c>
      <c r="AS25">
        <v>3573.00089785304</v>
      </c>
      <c r="AT25">
        <v>3322.7809259703317</v>
      </c>
      <c r="AU25">
        <v>3322.890569651719</v>
      </c>
      <c r="AV25">
        <v>3372.9455221882126</v>
      </c>
      <c r="AW25">
        <v>3364.9521835460046</v>
      </c>
      <c r="AX25">
        <v>3217.1297325849428</v>
      </c>
      <c r="AY25" s="89">
        <v>3321.557755412784</v>
      </c>
      <c r="AZ25" s="90">
        <f t="shared" si="31"/>
        <v>5800.4100000000008</v>
      </c>
      <c r="BA25" s="91">
        <f t="shared" si="31"/>
        <v>4640.3280000000004</v>
      </c>
      <c r="BB25" s="91">
        <f t="shared" si="31"/>
        <v>4640.3280000000004</v>
      </c>
      <c r="BC25" s="91">
        <f t="shared" si="31"/>
        <v>5800.4100000000008</v>
      </c>
      <c r="BD25" s="91">
        <f t="shared" si="31"/>
        <v>4640.3280000000004</v>
      </c>
      <c r="BE25" s="91">
        <f t="shared" si="31"/>
        <v>4640.3280000000004</v>
      </c>
      <c r="BF25" s="91">
        <f t="shared" si="31"/>
        <v>5800.4100000000008</v>
      </c>
      <c r="BG25" s="91">
        <f t="shared" si="31"/>
        <v>4640.3280000000004</v>
      </c>
      <c r="BH25" s="91">
        <f t="shared" si="31"/>
        <v>4640.3280000000004</v>
      </c>
      <c r="BI25" s="91">
        <f t="shared" si="31"/>
        <v>5800.4100000000008</v>
      </c>
      <c r="BJ25" s="91">
        <f t="shared" si="31"/>
        <v>4640.3280000000004</v>
      </c>
      <c r="BK25" s="92">
        <f t="shared" si="31"/>
        <v>4640.3280000000004</v>
      </c>
      <c r="BL25" s="93">
        <f t="shared" si="32"/>
        <v>0.50297075583421846</v>
      </c>
      <c r="BM25" s="94">
        <f t="shared" si="32"/>
        <v>0.61865850906558739</v>
      </c>
      <c r="BN25" s="94">
        <f t="shared" si="32"/>
        <v>0.65738017482404665</v>
      </c>
      <c r="BO25" s="94">
        <f t="shared" si="32"/>
        <v>0.66595494259845434</v>
      </c>
      <c r="BP25" s="94">
        <f t="shared" si="32"/>
        <v>0.87869037181780629</v>
      </c>
      <c r="BQ25" s="94">
        <f t="shared" si="32"/>
        <v>0.76998886670361222</v>
      </c>
      <c r="BR25" s="94">
        <f t="shared" si="32"/>
        <v>0.57285276833367493</v>
      </c>
      <c r="BS25" s="94">
        <f t="shared" si="32"/>
        <v>0.71608958885055507</v>
      </c>
      <c r="BT25" s="94">
        <f t="shared" si="32"/>
        <v>0.72687653161332821</v>
      </c>
      <c r="BU25" s="94">
        <f t="shared" si="32"/>
        <v>0.58012316087069782</v>
      </c>
      <c r="BV25" s="94">
        <f t="shared" si="32"/>
        <v>0.69329791613544178</v>
      </c>
      <c r="BW25" s="95">
        <f t="shared" si="32"/>
        <v>0.71580236470628444</v>
      </c>
      <c r="BX25" s="96">
        <f t="shared" si="22"/>
        <v>2882.973398151641</v>
      </c>
      <c r="BY25" s="97">
        <f t="shared" si="22"/>
        <v>1769.549597944701</v>
      </c>
      <c r="BZ25" s="97">
        <f t="shared" si="22"/>
        <v>1589.8683681190814</v>
      </c>
      <c r="CA25" s="97">
        <f t="shared" si="22"/>
        <v>1937.5982914024999</v>
      </c>
      <c r="CB25" s="97">
        <f t="shared" si="22"/>
        <v>562.91646432342259</v>
      </c>
      <c r="CC25" s="97">
        <f t="shared" si="22"/>
        <v>1067.3271021469604</v>
      </c>
      <c r="CD25" s="97">
        <f t="shared" si="22"/>
        <v>2477.629074029669</v>
      </c>
      <c r="CE25" s="97">
        <f t="shared" si="22"/>
        <v>1317.4374303482814</v>
      </c>
      <c r="CF25" s="97">
        <f t="shared" si="22"/>
        <v>1267.3824778117878</v>
      </c>
      <c r="CG25" s="97">
        <f t="shared" si="22"/>
        <v>2435.4578164539962</v>
      </c>
      <c r="CH25" s="97">
        <f t="shared" si="22"/>
        <v>1423.1982674150577</v>
      </c>
      <c r="CI25" s="98">
        <f t="shared" si="22"/>
        <v>1318.7702445872164</v>
      </c>
      <c r="CJ25" s="96">
        <f t="shared" si="23"/>
        <v>2162.230048613731</v>
      </c>
      <c r="CK25" s="97">
        <f t="shared" si="23"/>
        <v>1327.1621984585258</v>
      </c>
      <c r="CL25" s="97">
        <f t="shared" si="23"/>
        <v>1192.4012760893111</v>
      </c>
      <c r="CM25" s="97">
        <f t="shared" si="23"/>
        <v>1453.1987185518749</v>
      </c>
      <c r="CN25" s="97">
        <f t="shared" si="23"/>
        <v>422.18734824256694</v>
      </c>
      <c r="CO25" s="97">
        <f t="shared" si="23"/>
        <v>800.49532661022033</v>
      </c>
      <c r="CP25" s="97">
        <f t="shared" si="23"/>
        <v>1858.2218055222518</v>
      </c>
      <c r="CQ25" s="97">
        <f t="shared" si="23"/>
        <v>988.07807276121105</v>
      </c>
      <c r="CR25" s="97">
        <f t="shared" si="23"/>
        <v>950.53685835884085</v>
      </c>
      <c r="CS25" s="97">
        <f t="shared" si="23"/>
        <v>1826.5933623404972</v>
      </c>
      <c r="CT25" s="97">
        <f t="shared" si="23"/>
        <v>1067.3987005612933</v>
      </c>
      <c r="CU25" s="98">
        <f t="shared" si="23"/>
        <v>989.07768344041233</v>
      </c>
      <c r="CV25" s="99">
        <f t="shared" si="24"/>
        <v>45243.198000000011</v>
      </c>
      <c r="CW25" s="99">
        <f t="shared" si="25"/>
        <v>10451.178738000001</v>
      </c>
    </row>
    <row r="26" spans="1:101" x14ac:dyDescent="0.35">
      <c r="A26">
        <v>24</v>
      </c>
      <c r="B26" s="100" t="s">
        <v>104</v>
      </c>
      <c r="C26" s="101" t="s">
        <v>109</v>
      </c>
      <c r="D26" s="102">
        <v>9600</v>
      </c>
      <c r="E26" s="103" t="s">
        <v>110</v>
      </c>
      <c r="F26" s="104" t="s">
        <v>60</v>
      </c>
      <c r="G26" s="63">
        <v>0.23100000000000001</v>
      </c>
      <c r="H26" s="105" t="s">
        <v>61</v>
      </c>
      <c r="I26" s="65" t="s">
        <v>56</v>
      </c>
      <c r="J26" s="66" t="s">
        <v>56</v>
      </c>
      <c r="K26" s="106">
        <f>(10*8)-5</f>
        <v>75</v>
      </c>
      <c r="L26" s="107">
        <f>((15-1.5)*8)-2</f>
        <v>106</v>
      </c>
      <c r="M26" s="107">
        <f>((15-1.5)*8+2*12)-2</f>
        <v>130</v>
      </c>
      <c r="N26" s="108">
        <f t="shared" si="33"/>
        <v>154</v>
      </c>
      <c r="O26" s="109">
        <f t="shared" si="17"/>
        <v>720</v>
      </c>
      <c r="P26" s="110">
        <f t="shared" si="17"/>
        <v>1017.6</v>
      </c>
      <c r="Q26" s="110">
        <f t="shared" si="17"/>
        <v>1248</v>
      </c>
      <c r="R26" s="111">
        <f t="shared" si="17"/>
        <v>1478.4</v>
      </c>
      <c r="S26" s="112">
        <f t="shared" si="18"/>
        <v>8648.6400000000012</v>
      </c>
      <c r="T26" s="110">
        <f t="shared" si="18"/>
        <v>12223.4112</v>
      </c>
      <c r="U26" s="110">
        <f t="shared" si="18"/>
        <v>14990.976000000001</v>
      </c>
      <c r="V26" s="111">
        <f t="shared" si="18"/>
        <v>17758.540800000002</v>
      </c>
      <c r="W26" s="113">
        <v>0.87239999999999995</v>
      </c>
      <c r="X26" s="114">
        <f t="shared" si="19"/>
        <v>628.12799999999993</v>
      </c>
      <c r="Y26" s="115">
        <f t="shared" si="19"/>
        <v>887.75423999999998</v>
      </c>
      <c r="Z26" s="115">
        <f t="shared" si="19"/>
        <v>1088.7551999999998</v>
      </c>
      <c r="AA26" s="116">
        <f t="shared" si="19"/>
        <v>1289.7561599999999</v>
      </c>
      <c r="AB26" s="117">
        <f t="shared" si="19"/>
        <v>7545.0735360000008</v>
      </c>
      <c r="AC26" s="118">
        <f t="shared" si="19"/>
        <v>10663.703930879999</v>
      </c>
      <c r="AD26" s="118">
        <f t="shared" si="19"/>
        <v>13078.1274624</v>
      </c>
      <c r="AE26" s="119">
        <f t="shared" si="19"/>
        <v>15492.550993920002</v>
      </c>
      <c r="AF26" s="81" t="s">
        <v>34</v>
      </c>
      <c r="AG26" s="120">
        <f t="shared" si="8"/>
        <v>67067.320319999999</v>
      </c>
      <c r="AH26" s="121">
        <f t="shared" si="9"/>
        <v>5545.9514879999997</v>
      </c>
      <c r="AI26" s="122">
        <f t="shared" si="10"/>
        <v>15492.550993920002</v>
      </c>
      <c r="AJ26" s="123">
        <v>0.75</v>
      </c>
      <c r="AK26" s="86">
        <f>SUM(AN26:AY26)</f>
        <v>43847.333368190302</v>
      </c>
      <c r="AL26" s="87">
        <f>AK26/AG26</f>
        <v>0.65378090490242358</v>
      </c>
      <c r="AM26" s="87">
        <f t="shared" si="20"/>
        <v>0.87170787320323151</v>
      </c>
      <c r="AN26" s="88">
        <v>2779.4697479074989</v>
      </c>
      <c r="AO26">
        <v>3132.024587442801</v>
      </c>
      <c r="AP26">
        <v>3249.7391599384996</v>
      </c>
      <c r="AQ26">
        <v>4042.6266958945994</v>
      </c>
      <c r="AR26">
        <v>4874.3959431441017</v>
      </c>
      <c r="AS26">
        <v>5905.7828156804026</v>
      </c>
      <c r="AT26">
        <v>4319.9766503093997</v>
      </c>
      <c r="AU26">
        <v>3591.3253601215001</v>
      </c>
      <c r="AV26">
        <v>3258.1236422407014</v>
      </c>
      <c r="AW26">
        <v>3019.0160284712988</v>
      </c>
      <c r="AX26">
        <v>2813.895717505799</v>
      </c>
      <c r="AY26" s="89">
        <v>2860.9570195336992</v>
      </c>
      <c r="AZ26" s="90">
        <f t="shared" si="31"/>
        <v>6448.7807999999995</v>
      </c>
      <c r="BA26" s="91">
        <f t="shared" si="31"/>
        <v>5159.0246399999996</v>
      </c>
      <c r="BB26" s="91">
        <f t="shared" si="31"/>
        <v>5159.0246399999996</v>
      </c>
      <c r="BC26" s="91">
        <f t="shared" si="31"/>
        <v>6448.7807999999995</v>
      </c>
      <c r="BD26" s="91">
        <f t="shared" si="31"/>
        <v>5159.0246399999996</v>
      </c>
      <c r="BE26" s="91">
        <f t="shared" si="31"/>
        <v>5159.0246399999996</v>
      </c>
      <c r="BF26" s="91">
        <f t="shared" si="31"/>
        <v>6448.7807999999995</v>
      </c>
      <c r="BG26" s="91">
        <f t="shared" si="31"/>
        <v>5159.0246399999996</v>
      </c>
      <c r="BH26" s="91">
        <f t="shared" si="31"/>
        <v>5159.0246399999996</v>
      </c>
      <c r="BI26" s="91">
        <f t="shared" si="31"/>
        <v>6448.7807999999995</v>
      </c>
      <c r="BJ26" s="91">
        <f t="shared" si="31"/>
        <v>5159.0246399999996</v>
      </c>
      <c r="BK26" s="92">
        <f t="shared" si="31"/>
        <v>5159.0246399999996</v>
      </c>
      <c r="BL26" s="93">
        <f t="shared" si="32"/>
        <v>0.43100701266005181</v>
      </c>
      <c r="BM26" s="94">
        <f t="shared" si="32"/>
        <v>0.60709626450685095</v>
      </c>
      <c r="BN26" s="94">
        <f t="shared" si="32"/>
        <v>0.62991347913750217</v>
      </c>
      <c r="BO26" s="94">
        <f t="shared" si="32"/>
        <v>0.62688232415879286</v>
      </c>
      <c r="BP26" s="94">
        <f t="shared" si="32"/>
        <v>0.944828971226643</v>
      </c>
      <c r="BQ26" s="94">
        <f t="shared" si="32"/>
        <v>1.14474793740865</v>
      </c>
      <c r="BR26" s="94">
        <f t="shared" si="32"/>
        <v>0.66989044662665542</v>
      </c>
      <c r="BS26" s="94">
        <f t="shared" si="32"/>
        <v>0.69612487063475248</v>
      </c>
      <c r="BT26" s="94">
        <f t="shared" si="32"/>
        <v>0.631538686010366</v>
      </c>
      <c r="BU26" s="94">
        <f t="shared" si="32"/>
        <v>0.46815299234101726</v>
      </c>
      <c r="BV26" s="94">
        <f t="shared" si="32"/>
        <v>0.54543172670441042</v>
      </c>
      <c r="BW26" s="95">
        <f t="shared" si="32"/>
        <v>0.55455385836918569</v>
      </c>
      <c r="BX26" s="96">
        <f t="shared" si="22"/>
        <v>3669.3110520925006</v>
      </c>
      <c r="BY26" s="97">
        <f t="shared" si="22"/>
        <v>2027.0000525571986</v>
      </c>
      <c r="BZ26" s="97">
        <f t="shared" si="22"/>
        <v>1909.2854800615</v>
      </c>
      <c r="CA26" s="97">
        <f t="shared" si="22"/>
        <v>2406.1541041054002</v>
      </c>
      <c r="CB26" s="97">
        <f t="shared" si="22"/>
        <v>284.62869685589794</v>
      </c>
      <c r="CC26" s="97">
        <f t="shared" si="22"/>
        <v>-746.75817568040293</v>
      </c>
      <c r="CD26" s="97">
        <f t="shared" si="22"/>
        <v>2128.8041496905998</v>
      </c>
      <c r="CE26" s="97">
        <f t="shared" si="22"/>
        <v>1567.6992798784995</v>
      </c>
      <c r="CF26" s="97">
        <f t="shared" si="22"/>
        <v>1900.9009977592982</v>
      </c>
      <c r="CG26" s="97">
        <f t="shared" si="22"/>
        <v>3429.7647715287007</v>
      </c>
      <c r="CH26" s="97">
        <f t="shared" si="22"/>
        <v>2345.1289224942007</v>
      </c>
      <c r="CI26" s="98">
        <f t="shared" si="22"/>
        <v>2298.0676204663005</v>
      </c>
      <c r="CJ26" s="96">
        <f t="shared" si="23"/>
        <v>2751.9832890693756</v>
      </c>
      <c r="CK26" s="97">
        <f t="shared" si="23"/>
        <v>1520.250039417899</v>
      </c>
      <c r="CL26" s="97">
        <f t="shared" si="23"/>
        <v>1431.9641100461249</v>
      </c>
      <c r="CM26" s="97">
        <f t="shared" si="23"/>
        <v>1804.61557807905</v>
      </c>
      <c r="CN26" s="97">
        <f t="shared" si="23"/>
        <v>213.47152264192346</v>
      </c>
      <c r="CO26" s="97">
        <f t="shared" si="23"/>
        <v>-560.0686317603022</v>
      </c>
      <c r="CP26" s="97">
        <f t="shared" si="23"/>
        <v>1596.6031122679499</v>
      </c>
      <c r="CQ26" s="97">
        <f t="shared" si="23"/>
        <v>1175.7744599088746</v>
      </c>
      <c r="CR26" s="97">
        <f t="shared" si="23"/>
        <v>1425.6757483194738</v>
      </c>
      <c r="CS26" s="97">
        <f t="shared" si="23"/>
        <v>2572.3235786465257</v>
      </c>
      <c r="CT26" s="97">
        <f t="shared" si="23"/>
        <v>1758.8466918706504</v>
      </c>
      <c r="CU26" s="98">
        <f t="shared" si="23"/>
        <v>1723.5507153497254</v>
      </c>
      <c r="CV26" s="99">
        <f t="shared" si="24"/>
        <v>50300.490239999999</v>
      </c>
      <c r="CW26" s="99">
        <f t="shared" si="25"/>
        <v>11619.413245440002</v>
      </c>
    </row>
    <row r="27" spans="1:101" x14ac:dyDescent="0.35">
      <c r="A27">
        <v>25</v>
      </c>
      <c r="B27" s="100" t="s">
        <v>104</v>
      </c>
      <c r="C27" s="101" t="s">
        <v>111</v>
      </c>
      <c r="D27" s="102">
        <v>9600</v>
      </c>
      <c r="E27" s="103" t="s">
        <v>112</v>
      </c>
      <c r="F27" s="104" t="s">
        <v>54</v>
      </c>
      <c r="G27" s="63">
        <v>0.23</v>
      </c>
      <c r="H27" s="64" t="s">
        <v>55</v>
      </c>
      <c r="I27" s="65" t="s">
        <v>56</v>
      </c>
      <c r="J27" s="66" t="s">
        <v>56</v>
      </c>
      <c r="K27" s="106">
        <f>(10*8)-5</f>
        <v>75</v>
      </c>
      <c r="L27" s="107">
        <f>((15-1.5)*8)-2</f>
        <v>106</v>
      </c>
      <c r="M27" s="107">
        <f>((15-1.5)*8+2*12)-2</f>
        <v>130</v>
      </c>
      <c r="N27" s="108">
        <f t="shared" si="33"/>
        <v>154</v>
      </c>
      <c r="O27" s="109">
        <f t="shared" si="17"/>
        <v>720</v>
      </c>
      <c r="P27" s="110">
        <f t="shared" si="17"/>
        <v>1017.6</v>
      </c>
      <c r="Q27" s="110">
        <f t="shared" si="17"/>
        <v>1248</v>
      </c>
      <c r="R27" s="111">
        <f t="shared" si="17"/>
        <v>1478.4</v>
      </c>
      <c r="S27" s="112">
        <f t="shared" si="18"/>
        <v>8611.1999999999989</v>
      </c>
      <c r="T27" s="110">
        <f t="shared" si="18"/>
        <v>12170.495999999999</v>
      </c>
      <c r="U27" s="110">
        <f t="shared" si="18"/>
        <v>14926.080000000002</v>
      </c>
      <c r="V27" s="111">
        <f t="shared" si="18"/>
        <v>17681.664000000001</v>
      </c>
      <c r="W27" s="113">
        <v>0.85</v>
      </c>
      <c r="X27" s="114">
        <f t="shared" si="19"/>
        <v>612</v>
      </c>
      <c r="Y27" s="115">
        <f t="shared" si="19"/>
        <v>864.96</v>
      </c>
      <c r="Z27" s="115">
        <f t="shared" si="19"/>
        <v>1060.8</v>
      </c>
      <c r="AA27" s="116">
        <f t="shared" si="19"/>
        <v>1256.6400000000001</v>
      </c>
      <c r="AB27" s="117">
        <f t="shared" si="19"/>
        <v>7319.5199999999986</v>
      </c>
      <c r="AC27" s="118">
        <f t="shared" si="19"/>
        <v>10344.9216</v>
      </c>
      <c r="AD27" s="118">
        <f t="shared" si="19"/>
        <v>12687.168000000001</v>
      </c>
      <c r="AE27" s="119">
        <f t="shared" si="19"/>
        <v>15029.4144</v>
      </c>
      <c r="AF27" s="81" t="s">
        <v>34</v>
      </c>
      <c r="AG27" s="120">
        <f t="shared" si="8"/>
        <v>65345.280000000006</v>
      </c>
      <c r="AH27" s="121">
        <f t="shared" si="9"/>
        <v>5403.5520000000006</v>
      </c>
      <c r="AI27" s="122">
        <f t="shared" si="10"/>
        <v>15029.4144</v>
      </c>
      <c r="AJ27" s="123">
        <v>0.75</v>
      </c>
      <c r="AK27" s="86">
        <f>SUM(AN27:AY27)</f>
        <v>65734.990435148997</v>
      </c>
      <c r="AL27" s="87">
        <f>AK27/AG27</f>
        <v>1.005963865104702</v>
      </c>
      <c r="AM27" s="87">
        <f t="shared" si="20"/>
        <v>1.3412851534729362</v>
      </c>
      <c r="AN27" s="88">
        <v>4650.6480173170003</v>
      </c>
      <c r="AO27">
        <v>5001.3452193289995</v>
      </c>
      <c r="AP27">
        <v>5475.5032166560022</v>
      </c>
      <c r="AQ27">
        <v>5853.5924281290008</v>
      </c>
      <c r="AR27">
        <v>5925.5432087380004</v>
      </c>
      <c r="AS27">
        <v>6334.7051612980013</v>
      </c>
      <c r="AT27">
        <v>6168.3852208889994</v>
      </c>
      <c r="AU27">
        <v>4873.882684078998</v>
      </c>
      <c r="AV27">
        <v>6301.5729470050001</v>
      </c>
      <c r="AW27">
        <v>5228.7858883620002</v>
      </c>
      <c r="AX27">
        <v>5242.4037156860013</v>
      </c>
      <c r="AY27" s="89">
        <v>4678.6227276609989</v>
      </c>
      <c r="AZ27" s="90">
        <f t="shared" si="31"/>
        <v>6283.2000000000007</v>
      </c>
      <c r="BA27" s="91">
        <f t="shared" si="31"/>
        <v>5026.5600000000004</v>
      </c>
      <c r="BB27" s="91">
        <f t="shared" si="31"/>
        <v>5026.5600000000004</v>
      </c>
      <c r="BC27" s="91">
        <f t="shared" si="31"/>
        <v>6283.2000000000007</v>
      </c>
      <c r="BD27" s="91">
        <f t="shared" si="31"/>
        <v>5026.5600000000004</v>
      </c>
      <c r="BE27" s="91">
        <f t="shared" si="31"/>
        <v>5026.5600000000004</v>
      </c>
      <c r="BF27" s="91">
        <f t="shared" si="31"/>
        <v>6283.2000000000007</v>
      </c>
      <c r="BG27" s="91">
        <f t="shared" si="31"/>
        <v>5026.5600000000004</v>
      </c>
      <c r="BH27" s="91">
        <f t="shared" si="31"/>
        <v>5026.5600000000004</v>
      </c>
      <c r="BI27" s="91">
        <f t="shared" si="31"/>
        <v>6283.2000000000007</v>
      </c>
      <c r="BJ27" s="91">
        <f t="shared" si="31"/>
        <v>5026.5600000000004</v>
      </c>
      <c r="BK27" s="92">
        <f t="shared" si="31"/>
        <v>5026.5600000000004</v>
      </c>
      <c r="BL27" s="93">
        <f t="shared" si="32"/>
        <v>0.74017188969267245</v>
      </c>
      <c r="BM27" s="94">
        <f t="shared" si="32"/>
        <v>0.99498369050185398</v>
      </c>
      <c r="BN27" s="94">
        <f t="shared" si="32"/>
        <v>1.0893142062675074</v>
      </c>
      <c r="BO27" s="94">
        <f t="shared" si="32"/>
        <v>0.93162599123519862</v>
      </c>
      <c r="BP27" s="94">
        <f t="shared" si="32"/>
        <v>1.1788466085629139</v>
      </c>
      <c r="BQ27" s="94">
        <f t="shared" si="32"/>
        <v>1.2602466023081393</v>
      </c>
      <c r="BR27" s="94">
        <f t="shared" si="32"/>
        <v>0.981726703095397</v>
      </c>
      <c r="BS27" s="94">
        <f t="shared" si="32"/>
        <v>0.96962588411935746</v>
      </c>
      <c r="BT27" s="94">
        <f t="shared" si="32"/>
        <v>1.2536551731213792</v>
      </c>
      <c r="BU27" s="94">
        <f t="shared" si="32"/>
        <v>0.83218517449102358</v>
      </c>
      <c r="BV27" s="94">
        <f t="shared" si="32"/>
        <v>1.0429406424445349</v>
      </c>
      <c r="BW27" s="95">
        <f t="shared" si="32"/>
        <v>0.93078024089257827</v>
      </c>
      <c r="BX27" s="96">
        <f t="shared" si="22"/>
        <v>1632.5519826830005</v>
      </c>
      <c r="BY27" s="97">
        <f t="shared" si="22"/>
        <v>25.214780671000881</v>
      </c>
      <c r="BZ27" s="97">
        <f t="shared" si="22"/>
        <v>-448.94321665600182</v>
      </c>
      <c r="CA27" s="97">
        <f t="shared" si="22"/>
        <v>429.60757187099989</v>
      </c>
      <c r="CB27" s="97">
        <f t="shared" si="22"/>
        <v>-898.98320873800003</v>
      </c>
      <c r="CC27" s="97">
        <f t="shared" si="22"/>
        <v>-1308.1451612980009</v>
      </c>
      <c r="CD27" s="97">
        <f t="shared" si="22"/>
        <v>114.81477911100137</v>
      </c>
      <c r="CE27" s="97">
        <f t="shared" si="22"/>
        <v>152.67731592100245</v>
      </c>
      <c r="CF27" s="97">
        <f t="shared" si="22"/>
        <v>-1275.0129470049997</v>
      </c>
      <c r="CG27" s="97">
        <f t="shared" si="22"/>
        <v>1054.4141116380006</v>
      </c>
      <c r="CH27" s="97">
        <f t="shared" si="22"/>
        <v>-215.84371568600091</v>
      </c>
      <c r="CI27" s="98">
        <f t="shared" si="22"/>
        <v>347.93727233900154</v>
      </c>
      <c r="CJ27" s="96">
        <f t="shared" si="23"/>
        <v>1224.4139870122503</v>
      </c>
      <c r="CK27" s="97">
        <f t="shared" si="23"/>
        <v>18.911085503250661</v>
      </c>
      <c r="CL27" s="97">
        <f t="shared" si="23"/>
        <v>-336.70741249200137</v>
      </c>
      <c r="CM27" s="97">
        <f t="shared" si="23"/>
        <v>322.20567890324992</v>
      </c>
      <c r="CN27" s="97">
        <f t="shared" si="23"/>
        <v>-674.23740655350002</v>
      </c>
      <c r="CO27" s="97">
        <f t="shared" si="23"/>
        <v>-981.10887097350064</v>
      </c>
      <c r="CP27" s="97">
        <f t="shared" si="23"/>
        <v>86.111084333251029</v>
      </c>
      <c r="CQ27" s="97">
        <f t="shared" si="23"/>
        <v>114.50798694075183</v>
      </c>
      <c r="CR27" s="97">
        <f t="shared" si="23"/>
        <v>-956.25971025374974</v>
      </c>
      <c r="CS27" s="97">
        <f t="shared" si="23"/>
        <v>790.81058372850043</v>
      </c>
      <c r="CT27" s="97">
        <f t="shared" si="23"/>
        <v>-161.88278676450068</v>
      </c>
      <c r="CU27" s="98">
        <f t="shared" si="23"/>
        <v>260.95295425425115</v>
      </c>
      <c r="CV27" s="99">
        <f t="shared" si="24"/>
        <v>49008.959999999999</v>
      </c>
      <c r="CW27" s="99">
        <f t="shared" si="25"/>
        <v>11272.060799999999</v>
      </c>
    </row>
    <row r="28" spans="1:101" x14ac:dyDescent="0.35">
      <c r="A28">
        <v>26</v>
      </c>
      <c r="B28" s="100" t="s">
        <v>104</v>
      </c>
      <c r="C28" s="101" t="s">
        <v>37</v>
      </c>
      <c r="D28" s="125">
        <v>4800</v>
      </c>
      <c r="E28" s="103" t="s">
        <v>113</v>
      </c>
      <c r="F28" s="104" t="s">
        <v>114</v>
      </c>
      <c r="G28" s="63">
        <v>0.39</v>
      </c>
      <c r="H28" s="105"/>
      <c r="I28" s="65" t="s">
        <v>115</v>
      </c>
      <c r="J28" s="66" t="s">
        <v>115</v>
      </c>
      <c r="K28" s="106">
        <f>(2*8*5)-5</f>
        <v>75</v>
      </c>
      <c r="L28" s="107">
        <f>(15*8-1.5*8)-2</f>
        <v>106</v>
      </c>
      <c r="M28" s="107">
        <f>(15*8+2*12-1.5*8)-2</f>
        <v>130</v>
      </c>
      <c r="N28" s="108">
        <f t="shared" si="33"/>
        <v>154</v>
      </c>
      <c r="O28" s="109">
        <f t="shared" si="17"/>
        <v>360</v>
      </c>
      <c r="P28" s="110">
        <f t="shared" si="17"/>
        <v>508.8</v>
      </c>
      <c r="Q28" s="110">
        <f t="shared" si="17"/>
        <v>624</v>
      </c>
      <c r="R28" s="111">
        <f t="shared" si="17"/>
        <v>739.2</v>
      </c>
      <c r="S28" s="112">
        <f t="shared" si="18"/>
        <v>7300.8</v>
      </c>
      <c r="T28" s="110">
        <f t="shared" si="18"/>
        <v>10318.464</v>
      </c>
      <c r="U28" s="110">
        <f t="shared" si="18"/>
        <v>12654.720000000001</v>
      </c>
      <c r="V28" s="111">
        <f t="shared" si="18"/>
        <v>14990.976000000001</v>
      </c>
      <c r="W28" s="113">
        <v>0.85</v>
      </c>
      <c r="X28" s="114">
        <f t="shared" si="19"/>
        <v>306</v>
      </c>
      <c r="Y28" s="115">
        <f t="shared" si="19"/>
        <v>432.48</v>
      </c>
      <c r="Z28" s="115">
        <f t="shared" si="19"/>
        <v>530.4</v>
      </c>
      <c r="AA28" s="116">
        <f t="shared" si="19"/>
        <v>628.32000000000005</v>
      </c>
      <c r="AB28" s="117">
        <f t="shared" si="19"/>
        <v>6205.68</v>
      </c>
      <c r="AC28" s="118">
        <f t="shared" si="19"/>
        <v>8770.6944000000003</v>
      </c>
      <c r="AD28" s="118">
        <f t="shared" si="19"/>
        <v>10756.512000000001</v>
      </c>
      <c r="AE28" s="119">
        <f t="shared" si="19"/>
        <v>12742.329600000001</v>
      </c>
      <c r="AF28" s="81" t="s">
        <v>32</v>
      </c>
      <c r="AG28" s="120">
        <f t="shared" si="8"/>
        <v>22488.959999999999</v>
      </c>
      <c r="AH28" s="121">
        <f t="shared" si="9"/>
        <v>1859.664</v>
      </c>
      <c r="AI28" s="122">
        <f t="shared" si="10"/>
        <v>8770.6944000000003</v>
      </c>
      <c r="AJ28" s="123">
        <v>0.9</v>
      </c>
      <c r="AK28" s="86">
        <f>SUM(AN28:AY28)</f>
        <v>6686.345636490063</v>
      </c>
      <c r="AL28" s="87">
        <f>AK28/AG28</f>
        <v>0.29731680062084076</v>
      </c>
      <c r="AM28" s="87">
        <f t="shared" si="20"/>
        <v>0.33035200068982307</v>
      </c>
      <c r="AN28" s="88">
        <v>623.46312306655796</v>
      </c>
      <c r="AO28">
        <v>534.88050484218888</v>
      </c>
      <c r="AP28">
        <v>565.05336473248974</v>
      </c>
      <c r="AQ28">
        <v>574.82220824468789</v>
      </c>
      <c r="AR28">
        <v>542.83664904584623</v>
      </c>
      <c r="AS28">
        <v>587.15123661124096</v>
      </c>
      <c r="AT28">
        <v>591.75957811433625</v>
      </c>
      <c r="AU28">
        <v>522.41464833141004</v>
      </c>
      <c r="AV28">
        <v>537.26820979266211</v>
      </c>
      <c r="AW28">
        <v>522.63671359361706</v>
      </c>
      <c r="AX28">
        <v>560.01385306886914</v>
      </c>
      <c r="AY28" s="89">
        <v>524.04554704615737</v>
      </c>
      <c r="AZ28" s="90">
        <f t="shared" si="31"/>
        <v>2162.4</v>
      </c>
      <c r="BA28" s="91">
        <f t="shared" si="31"/>
        <v>1729.92</v>
      </c>
      <c r="BB28" s="91">
        <f t="shared" si="31"/>
        <v>1729.92</v>
      </c>
      <c r="BC28" s="91">
        <f t="shared" si="31"/>
        <v>2162.4</v>
      </c>
      <c r="BD28" s="91">
        <f t="shared" si="31"/>
        <v>1729.92</v>
      </c>
      <c r="BE28" s="91">
        <f t="shared" si="31"/>
        <v>1729.92</v>
      </c>
      <c r="BF28" s="91">
        <f t="shared" si="31"/>
        <v>2162.4</v>
      </c>
      <c r="BG28" s="91">
        <f t="shared" si="31"/>
        <v>1729.92</v>
      </c>
      <c r="BH28" s="91">
        <f t="shared" si="31"/>
        <v>1729.92</v>
      </c>
      <c r="BI28" s="91">
        <f t="shared" si="31"/>
        <v>2162.4</v>
      </c>
      <c r="BJ28" s="91">
        <f t="shared" si="31"/>
        <v>1729.92</v>
      </c>
      <c r="BK28" s="92">
        <f t="shared" si="31"/>
        <v>1729.92</v>
      </c>
      <c r="BL28" s="93">
        <f t="shared" si="32"/>
        <v>0.28831997922056879</v>
      </c>
      <c r="BM28" s="94">
        <f t="shared" si="32"/>
        <v>0.30919378054603036</v>
      </c>
      <c r="BN28" s="94">
        <f t="shared" si="32"/>
        <v>0.32663554657584726</v>
      </c>
      <c r="BO28" s="94">
        <f t="shared" si="32"/>
        <v>0.26582603044981867</v>
      </c>
      <c r="BP28" s="94">
        <f t="shared" si="32"/>
        <v>0.31379292050837393</v>
      </c>
      <c r="BQ28" s="94">
        <f t="shared" si="32"/>
        <v>0.33940947362377505</v>
      </c>
      <c r="BR28" s="94">
        <f t="shared" si="32"/>
        <v>0.27365870242061424</v>
      </c>
      <c r="BS28" s="94">
        <f t="shared" si="32"/>
        <v>0.30198774991410587</v>
      </c>
      <c r="BT28" s="94">
        <f t="shared" si="32"/>
        <v>0.31057402064411194</v>
      </c>
      <c r="BU28" s="94">
        <f t="shared" si="32"/>
        <v>0.24169289381872783</v>
      </c>
      <c r="BV28" s="94">
        <f t="shared" si="32"/>
        <v>0.32372239934151237</v>
      </c>
      <c r="BW28" s="95">
        <f t="shared" si="32"/>
        <v>0.30293050953001144</v>
      </c>
      <c r="BX28" s="96">
        <f t="shared" si="22"/>
        <v>1538.9368769334421</v>
      </c>
      <c r="BY28" s="97">
        <f t="shared" si="22"/>
        <v>1195.0394951578112</v>
      </c>
      <c r="BZ28" s="97">
        <f t="shared" si="22"/>
        <v>1164.8666352675104</v>
      </c>
      <c r="CA28" s="97">
        <f t="shared" si="22"/>
        <v>1587.5777917553123</v>
      </c>
      <c r="CB28" s="97">
        <f t="shared" si="22"/>
        <v>1187.083350954154</v>
      </c>
      <c r="CC28" s="97">
        <f t="shared" si="22"/>
        <v>1142.768763388759</v>
      </c>
      <c r="CD28" s="97">
        <f t="shared" si="22"/>
        <v>1570.6404218856637</v>
      </c>
      <c r="CE28" s="97">
        <f t="shared" si="22"/>
        <v>1207.50535166859</v>
      </c>
      <c r="CF28" s="97">
        <f t="shared" si="22"/>
        <v>1192.6517902073379</v>
      </c>
      <c r="CG28" s="97">
        <f t="shared" si="22"/>
        <v>1639.763286406383</v>
      </c>
      <c r="CH28" s="97">
        <f t="shared" si="22"/>
        <v>1169.9061469311309</v>
      </c>
      <c r="CI28" s="98">
        <f t="shared" si="22"/>
        <v>1205.8744529538426</v>
      </c>
      <c r="CJ28" s="96">
        <f t="shared" si="23"/>
        <v>1385.0431892400979</v>
      </c>
      <c r="CK28" s="97">
        <f t="shared" si="23"/>
        <v>1075.53554564203</v>
      </c>
      <c r="CL28" s="97">
        <f t="shared" si="23"/>
        <v>1048.3799717407594</v>
      </c>
      <c r="CM28" s="97">
        <f t="shared" si="23"/>
        <v>1428.8200125797812</v>
      </c>
      <c r="CN28" s="97">
        <f t="shared" si="23"/>
        <v>1068.3750158587386</v>
      </c>
      <c r="CO28" s="97">
        <f t="shared" si="23"/>
        <v>1028.4918870498832</v>
      </c>
      <c r="CP28" s="97">
        <f t="shared" si="23"/>
        <v>1413.5763796970973</v>
      </c>
      <c r="CQ28" s="97">
        <f t="shared" si="23"/>
        <v>1086.7548165017311</v>
      </c>
      <c r="CR28" s="97">
        <f t="shared" si="23"/>
        <v>1073.3866111866041</v>
      </c>
      <c r="CS28" s="97">
        <f t="shared" si="23"/>
        <v>1475.7869577657448</v>
      </c>
      <c r="CT28" s="97">
        <f t="shared" si="23"/>
        <v>1052.9155322380179</v>
      </c>
      <c r="CU28" s="98">
        <f t="shared" si="23"/>
        <v>1085.2870076584584</v>
      </c>
      <c r="CV28" s="99">
        <f t="shared" si="24"/>
        <v>20240.063999999998</v>
      </c>
      <c r="CW28" s="99">
        <f t="shared" si="25"/>
        <v>7893.6249600000001</v>
      </c>
    </row>
    <row r="29" spans="1:101" hidden="1" outlineLevel="1" x14ac:dyDescent="0.35">
      <c r="A29">
        <v>27</v>
      </c>
      <c r="B29" s="100" t="s">
        <v>104</v>
      </c>
      <c r="C29" s="101" t="s">
        <v>37</v>
      </c>
      <c r="D29" s="102">
        <v>4800</v>
      </c>
      <c r="E29" s="103" t="s">
        <v>113</v>
      </c>
      <c r="F29" s="104" t="s">
        <v>114</v>
      </c>
      <c r="G29" s="63"/>
      <c r="H29" s="105"/>
      <c r="I29" s="65" t="s">
        <v>115</v>
      </c>
      <c r="J29" s="66" t="s">
        <v>115</v>
      </c>
      <c r="K29" s="106">
        <f>(2*7*5)-5</f>
        <v>65</v>
      </c>
      <c r="L29" s="107">
        <f>(15*8-1.5*8)-2</f>
        <v>106</v>
      </c>
      <c r="M29" s="107">
        <f>(15*8+2*12-1.5*8)-2</f>
        <v>130</v>
      </c>
      <c r="N29" s="108">
        <f t="shared" si="33"/>
        <v>154</v>
      </c>
      <c r="O29" s="109">
        <f t="shared" si="17"/>
        <v>312</v>
      </c>
      <c r="P29" s="110">
        <f t="shared" si="17"/>
        <v>508.8</v>
      </c>
      <c r="Q29" s="110">
        <f t="shared" si="17"/>
        <v>624</v>
      </c>
      <c r="R29" s="111">
        <f t="shared" si="17"/>
        <v>739.2</v>
      </c>
      <c r="S29" s="112">
        <f t="shared" si="18"/>
        <v>0</v>
      </c>
      <c r="T29" s="110">
        <f t="shared" si="18"/>
        <v>0</v>
      </c>
      <c r="U29" s="110">
        <f t="shared" si="18"/>
        <v>0</v>
      </c>
      <c r="V29" s="111">
        <f t="shared" si="18"/>
        <v>0</v>
      </c>
      <c r="W29" s="113">
        <v>0.86</v>
      </c>
      <c r="X29" s="114">
        <f t="shared" si="19"/>
        <v>268.32</v>
      </c>
      <c r="Y29" s="115">
        <f t="shared" si="19"/>
        <v>437.56799999999998</v>
      </c>
      <c r="Z29" s="115">
        <f t="shared" si="19"/>
        <v>536.64</v>
      </c>
      <c r="AA29" s="116">
        <f t="shared" si="19"/>
        <v>635.71199999999999</v>
      </c>
      <c r="AB29" s="117">
        <f t="shared" si="19"/>
        <v>0</v>
      </c>
      <c r="AC29" s="118">
        <f t="shared" si="19"/>
        <v>0</v>
      </c>
      <c r="AD29" s="118">
        <f t="shared" si="19"/>
        <v>0</v>
      </c>
      <c r="AE29" s="119">
        <f t="shared" si="19"/>
        <v>0</v>
      </c>
      <c r="AF29" s="81"/>
      <c r="AG29" s="120">
        <f t="shared" si="8"/>
        <v>0</v>
      </c>
      <c r="AH29" s="121">
        <f t="shared" si="9"/>
        <v>0</v>
      </c>
      <c r="AI29" s="122">
        <f t="shared" si="10"/>
        <v>0</v>
      </c>
      <c r="AJ29" s="123">
        <v>0.9</v>
      </c>
      <c r="AL29" s="87"/>
      <c r="AM29" s="87"/>
      <c r="AN29" s="88"/>
      <c r="AY29" s="89"/>
      <c r="AZ29" s="90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2"/>
      <c r="BL29" s="88"/>
      <c r="BW29" s="89"/>
      <c r="BX29" s="96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8"/>
      <c r="CJ29" s="96">
        <f t="shared" si="23"/>
        <v>0</v>
      </c>
      <c r="CK29" s="97">
        <f t="shared" si="23"/>
        <v>0</v>
      </c>
      <c r="CL29" s="97">
        <f t="shared" si="23"/>
        <v>0</v>
      </c>
      <c r="CM29" s="97">
        <f t="shared" si="23"/>
        <v>0</v>
      </c>
      <c r="CN29" s="97">
        <f t="shared" si="23"/>
        <v>0</v>
      </c>
      <c r="CO29" s="97">
        <f t="shared" si="23"/>
        <v>0</v>
      </c>
      <c r="CP29" s="97">
        <f t="shared" si="23"/>
        <v>0</v>
      </c>
      <c r="CQ29" s="97">
        <f t="shared" si="23"/>
        <v>0</v>
      </c>
      <c r="CR29" s="97">
        <f t="shared" si="23"/>
        <v>0</v>
      </c>
      <c r="CS29" s="97">
        <f t="shared" si="23"/>
        <v>0</v>
      </c>
      <c r="CT29" s="97">
        <f t="shared" si="23"/>
        <v>0</v>
      </c>
      <c r="CU29" s="98">
        <f t="shared" si="23"/>
        <v>0</v>
      </c>
      <c r="CV29" s="99">
        <f t="shared" si="24"/>
        <v>0</v>
      </c>
      <c r="CW29" s="99">
        <f t="shared" si="25"/>
        <v>0</v>
      </c>
    </row>
    <row r="30" spans="1:101" hidden="1" outlineLevel="1" x14ac:dyDescent="0.35">
      <c r="A30">
        <v>28</v>
      </c>
      <c r="B30" s="100" t="s">
        <v>104</v>
      </c>
      <c r="C30" s="101" t="s">
        <v>37</v>
      </c>
      <c r="D30" s="102">
        <v>4800</v>
      </c>
      <c r="E30" s="103" t="s">
        <v>113</v>
      </c>
      <c r="F30" s="104" t="s">
        <v>114</v>
      </c>
      <c r="G30" s="63"/>
      <c r="H30" s="105"/>
      <c r="I30" s="65" t="s">
        <v>115</v>
      </c>
      <c r="J30" s="66" t="s">
        <v>115</v>
      </c>
      <c r="K30" s="106">
        <f>(2*7*5)-5</f>
        <v>65</v>
      </c>
      <c r="L30" s="107">
        <f>(15*8-1.5*8)-2</f>
        <v>106</v>
      </c>
      <c r="M30" s="107">
        <f>(15*8+2*12-1.5*8)-2</f>
        <v>130</v>
      </c>
      <c r="N30" s="108">
        <f t="shared" si="33"/>
        <v>154</v>
      </c>
      <c r="O30" s="109">
        <f t="shared" si="17"/>
        <v>312</v>
      </c>
      <c r="P30" s="110">
        <f t="shared" si="17"/>
        <v>508.8</v>
      </c>
      <c r="Q30" s="110">
        <f t="shared" si="17"/>
        <v>624</v>
      </c>
      <c r="R30" s="111">
        <f t="shared" si="17"/>
        <v>739.2</v>
      </c>
      <c r="S30" s="112">
        <f t="shared" si="18"/>
        <v>0</v>
      </c>
      <c r="T30" s="110">
        <f t="shared" si="18"/>
        <v>0</v>
      </c>
      <c r="U30" s="110">
        <f t="shared" si="18"/>
        <v>0</v>
      </c>
      <c r="V30" s="111">
        <f t="shared" si="18"/>
        <v>0</v>
      </c>
      <c r="W30" s="113">
        <v>0.84</v>
      </c>
      <c r="X30" s="114">
        <f t="shared" si="19"/>
        <v>262.08</v>
      </c>
      <c r="Y30" s="115">
        <f t="shared" si="19"/>
        <v>427.392</v>
      </c>
      <c r="Z30" s="115">
        <f t="shared" si="19"/>
        <v>524.16</v>
      </c>
      <c r="AA30" s="116">
        <f t="shared" si="19"/>
        <v>620.928</v>
      </c>
      <c r="AB30" s="117">
        <f t="shared" si="19"/>
        <v>0</v>
      </c>
      <c r="AC30" s="118">
        <f t="shared" si="19"/>
        <v>0</v>
      </c>
      <c r="AD30" s="118">
        <f t="shared" si="19"/>
        <v>0</v>
      </c>
      <c r="AE30" s="119">
        <f t="shared" si="19"/>
        <v>0</v>
      </c>
      <c r="AF30" s="81"/>
      <c r="AG30" s="120">
        <f t="shared" si="8"/>
        <v>0</v>
      </c>
      <c r="AH30" s="121">
        <f t="shared" si="9"/>
        <v>0</v>
      </c>
      <c r="AI30" s="122">
        <f t="shared" si="10"/>
        <v>0</v>
      </c>
      <c r="AJ30" s="123">
        <v>0.9</v>
      </c>
      <c r="AL30" s="87"/>
      <c r="AM30" s="87"/>
      <c r="AN30" s="88"/>
      <c r="AY30" s="89"/>
      <c r="AZ30" s="90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2"/>
      <c r="BL30" s="88"/>
      <c r="BW30" s="89"/>
      <c r="BX30" s="96"/>
      <c r="BY30" s="97"/>
      <c r="BZ30" s="97"/>
      <c r="CA30" s="97"/>
      <c r="CB30" s="97"/>
      <c r="CC30" s="97"/>
      <c r="CD30" s="97"/>
      <c r="CE30" s="97"/>
      <c r="CF30" s="97"/>
      <c r="CG30" s="97"/>
      <c r="CH30" s="97"/>
      <c r="CI30" s="98"/>
      <c r="CJ30" s="96">
        <f t="shared" si="23"/>
        <v>0</v>
      </c>
      <c r="CK30" s="97">
        <f t="shared" si="23"/>
        <v>0</v>
      </c>
      <c r="CL30" s="97">
        <f t="shared" si="23"/>
        <v>0</v>
      </c>
      <c r="CM30" s="97">
        <f t="shared" si="23"/>
        <v>0</v>
      </c>
      <c r="CN30" s="97">
        <f t="shared" si="23"/>
        <v>0</v>
      </c>
      <c r="CO30" s="97">
        <f t="shared" si="23"/>
        <v>0</v>
      </c>
      <c r="CP30" s="97">
        <f t="shared" si="23"/>
        <v>0</v>
      </c>
      <c r="CQ30" s="97">
        <f t="shared" si="23"/>
        <v>0</v>
      </c>
      <c r="CR30" s="97">
        <f t="shared" si="23"/>
        <v>0</v>
      </c>
      <c r="CS30" s="97">
        <f t="shared" si="23"/>
        <v>0</v>
      </c>
      <c r="CT30" s="97">
        <f t="shared" si="23"/>
        <v>0</v>
      </c>
      <c r="CU30" s="98">
        <f t="shared" si="23"/>
        <v>0</v>
      </c>
      <c r="CV30" s="99">
        <f t="shared" si="24"/>
        <v>0</v>
      </c>
      <c r="CW30" s="99">
        <f t="shared" si="25"/>
        <v>0</v>
      </c>
    </row>
    <row r="31" spans="1:101" collapsed="1" x14ac:dyDescent="0.35">
      <c r="A31">
        <v>29</v>
      </c>
      <c r="B31" s="100" t="s">
        <v>116</v>
      </c>
      <c r="C31" s="101" t="s">
        <v>78</v>
      </c>
      <c r="D31" s="125">
        <f>AVERAGE(D32:D33)</f>
        <v>5100</v>
      </c>
      <c r="E31" s="103" t="s">
        <v>117</v>
      </c>
      <c r="F31" s="104" t="s">
        <v>60</v>
      </c>
      <c r="G31" s="63">
        <v>0.23899999999999999</v>
      </c>
      <c r="H31" s="105" t="s">
        <v>85</v>
      </c>
      <c r="I31" s="65" t="s">
        <v>56</v>
      </c>
      <c r="J31" s="66" t="s">
        <v>56</v>
      </c>
      <c r="K31" s="106">
        <f>(10*8)-5</f>
        <v>75</v>
      </c>
      <c r="L31" s="107">
        <f>((15-1.5)*8)-2</f>
        <v>106</v>
      </c>
      <c r="M31" s="107">
        <f>((15-1.5)*8+2*12)-2</f>
        <v>130</v>
      </c>
      <c r="N31" s="108">
        <f t="shared" si="33"/>
        <v>154</v>
      </c>
      <c r="O31" s="109">
        <f t="shared" si="17"/>
        <v>382.5</v>
      </c>
      <c r="P31" s="110">
        <f t="shared" si="17"/>
        <v>540.6</v>
      </c>
      <c r="Q31" s="110">
        <f t="shared" si="17"/>
        <v>663</v>
      </c>
      <c r="R31" s="111">
        <f t="shared" si="17"/>
        <v>785.4</v>
      </c>
      <c r="S31" s="112">
        <f t="shared" si="18"/>
        <v>4753.7099999999991</v>
      </c>
      <c r="T31" s="110">
        <f t="shared" si="18"/>
        <v>6718.5767999999989</v>
      </c>
      <c r="U31" s="110">
        <f t="shared" si="18"/>
        <v>8239.7639999999992</v>
      </c>
      <c r="V31" s="111">
        <f t="shared" si="18"/>
        <v>9760.9511999999995</v>
      </c>
      <c r="W31" s="113">
        <v>0.84299999999999997</v>
      </c>
      <c r="X31" s="114">
        <f t="shared" si="19"/>
        <v>322.44749999999999</v>
      </c>
      <c r="Y31" s="115">
        <f t="shared" si="19"/>
        <v>455.72579999999999</v>
      </c>
      <c r="Z31" s="115">
        <f t="shared" si="19"/>
        <v>558.90899999999999</v>
      </c>
      <c r="AA31" s="116">
        <f t="shared" si="19"/>
        <v>662.09219999999993</v>
      </c>
      <c r="AB31" s="117">
        <f t="shared" si="19"/>
        <v>4007.3775299999993</v>
      </c>
      <c r="AC31" s="118">
        <f t="shared" si="19"/>
        <v>5663.7602423999988</v>
      </c>
      <c r="AD31" s="118">
        <f t="shared" si="19"/>
        <v>6946.1210519999995</v>
      </c>
      <c r="AE31" s="119">
        <f t="shared" si="19"/>
        <v>8228.4818615999993</v>
      </c>
      <c r="AF31" s="81" t="s">
        <v>32</v>
      </c>
      <c r="AG31" s="120">
        <f t="shared" si="8"/>
        <v>23697.741600000001</v>
      </c>
      <c r="AH31" s="121">
        <f t="shared" si="9"/>
        <v>1959.6209399999998</v>
      </c>
      <c r="AI31" s="122">
        <f t="shared" si="10"/>
        <v>5663.7602423999988</v>
      </c>
      <c r="AJ31" s="123">
        <v>0.75</v>
      </c>
      <c r="AK31" s="86">
        <f>SUM(AN31:AY31)</f>
        <v>27967.412014540936</v>
      </c>
      <c r="AL31" s="87">
        <f>AK31/AG31</f>
        <v>1.1801720386106722</v>
      </c>
      <c r="AM31" s="87">
        <f t="shared" si="20"/>
        <v>1.5735627181475631</v>
      </c>
      <c r="AN31" s="88">
        <v>1675.2886387049282</v>
      </c>
      <c r="AO31">
        <v>1481.5924536209718</v>
      </c>
      <c r="AP31">
        <v>2031.0597607321815</v>
      </c>
      <c r="AQ31">
        <v>2753.6520602957958</v>
      </c>
      <c r="AR31">
        <v>3048.860269338461</v>
      </c>
      <c r="AS31">
        <v>2865.1216808922409</v>
      </c>
      <c r="AT31">
        <v>2624.7720628975439</v>
      </c>
      <c r="AU31">
        <v>2167.9299856631396</v>
      </c>
      <c r="AV31">
        <v>2689.343976073962</v>
      </c>
      <c r="AW31">
        <v>2271.1451072388359</v>
      </c>
      <c r="AX31">
        <v>2303.7358591148413</v>
      </c>
      <c r="AY31" s="89">
        <v>2054.9101599680353</v>
      </c>
      <c r="AZ31" s="90">
        <f t="shared" ref="AZ31:BK31" si="34">AZ$1*HLOOKUP($AF31,$X$3:$AA$84,$A31,FALSE)</f>
        <v>2278.6289999999999</v>
      </c>
      <c r="BA31" s="91">
        <f t="shared" si="34"/>
        <v>1822.9032</v>
      </c>
      <c r="BB31" s="91">
        <f t="shared" si="34"/>
        <v>1822.9032</v>
      </c>
      <c r="BC31" s="91">
        <f t="shared" si="34"/>
        <v>2278.6289999999999</v>
      </c>
      <c r="BD31" s="91">
        <f t="shared" si="34"/>
        <v>1822.9032</v>
      </c>
      <c r="BE31" s="91">
        <f t="shared" si="34"/>
        <v>1822.9032</v>
      </c>
      <c r="BF31" s="91">
        <f t="shared" si="34"/>
        <v>2278.6289999999999</v>
      </c>
      <c r="BG31" s="91">
        <f t="shared" si="34"/>
        <v>1822.9032</v>
      </c>
      <c r="BH31" s="91">
        <f t="shared" si="34"/>
        <v>1822.9032</v>
      </c>
      <c r="BI31" s="91">
        <f t="shared" si="34"/>
        <v>2278.6289999999999</v>
      </c>
      <c r="BJ31" s="91">
        <f t="shared" si="34"/>
        <v>1822.9032</v>
      </c>
      <c r="BK31" s="92">
        <f t="shared" si="34"/>
        <v>1822.9032</v>
      </c>
      <c r="BL31" s="93">
        <f t="shared" ref="BL31:BW31" si="35">AN31/AZ31</f>
        <v>0.73521781681218323</v>
      </c>
      <c r="BM31" s="94">
        <f t="shared" si="35"/>
        <v>0.81276529308905254</v>
      </c>
      <c r="BN31" s="94">
        <f t="shared" si="35"/>
        <v>1.1141895854547743</v>
      </c>
      <c r="BO31" s="94">
        <f t="shared" si="35"/>
        <v>1.2084688030810613</v>
      </c>
      <c r="BP31" s="94">
        <f t="shared" si="35"/>
        <v>1.6725299891614986</v>
      </c>
      <c r="BQ31" s="94">
        <f t="shared" si="35"/>
        <v>1.5717355046018027</v>
      </c>
      <c r="BR31" s="94">
        <f t="shared" si="35"/>
        <v>1.1519084778160658</v>
      </c>
      <c r="BS31" s="94">
        <f t="shared" si="35"/>
        <v>1.1892732349491404</v>
      </c>
      <c r="BT31" s="94">
        <f t="shared" si="35"/>
        <v>1.4753081656085534</v>
      </c>
      <c r="BU31" s="94">
        <f t="shared" si="35"/>
        <v>0.99671561594223368</v>
      </c>
      <c r="BV31" s="94">
        <f t="shared" si="35"/>
        <v>1.2637730073186779</v>
      </c>
      <c r="BW31" s="95">
        <f t="shared" si="35"/>
        <v>1.1272733296908115</v>
      </c>
      <c r="BX31" s="96">
        <f t="shared" si="22"/>
        <v>603.34036129507172</v>
      </c>
      <c r="BY31" s="97">
        <f t="shared" si="22"/>
        <v>341.31074637902816</v>
      </c>
      <c r="BZ31" s="97">
        <f t="shared" si="22"/>
        <v>-208.15656073218156</v>
      </c>
      <c r="CA31" s="97">
        <f t="shared" si="22"/>
        <v>-475.02306029579586</v>
      </c>
      <c r="CB31" s="97">
        <f t="shared" si="22"/>
        <v>-1225.957069338461</v>
      </c>
      <c r="CC31" s="97">
        <f t="shared" si="22"/>
        <v>-1042.2184808922409</v>
      </c>
      <c r="CD31" s="97">
        <f t="shared" si="22"/>
        <v>-346.14306289754404</v>
      </c>
      <c r="CE31" s="97">
        <f t="shared" si="22"/>
        <v>-345.02678566313966</v>
      </c>
      <c r="CF31" s="97">
        <f t="shared" si="22"/>
        <v>-866.44077607396207</v>
      </c>
      <c r="CG31" s="97">
        <f t="shared" si="22"/>
        <v>7.4838927611640429</v>
      </c>
      <c r="CH31" s="97">
        <f t="shared" si="22"/>
        <v>-480.83265911484136</v>
      </c>
      <c r="CI31" s="98">
        <f t="shared" si="22"/>
        <v>-232.00695996803529</v>
      </c>
      <c r="CJ31" s="96">
        <f t="shared" si="23"/>
        <v>452.50527097130379</v>
      </c>
      <c r="CK31" s="97">
        <f t="shared" si="23"/>
        <v>255.98305978427112</v>
      </c>
      <c r="CL31" s="97">
        <f t="shared" si="23"/>
        <v>-156.11742054913617</v>
      </c>
      <c r="CM31" s="97">
        <f t="shared" si="23"/>
        <v>-356.26729522184689</v>
      </c>
      <c r="CN31" s="97">
        <f t="shared" si="23"/>
        <v>-919.46780200384569</v>
      </c>
      <c r="CO31" s="97">
        <f t="shared" si="23"/>
        <v>-781.66386066918062</v>
      </c>
      <c r="CP31" s="97">
        <f t="shared" si="23"/>
        <v>-259.60729717315803</v>
      </c>
      <c r="CQ31" s="97">
        <f t="shared" si="23"/>
        <v>-258.77008924735475</v>
      </c>
      <c r="CR31" s="97">
        <f t="shared" si="23"/>
        <v>-649.8305820554715</v>
      </c>
      <c r="CS31" s="97">
        <f t="shared" si="23"/>
        <v>5.6129195708730322</v>
      </c>
      <c r="CT31" s="97">
        <f t="shared" si="23"/>
        <v>-360.62449433613102</v>
      </c>
      <c r="CU31" s="98">
        <f t="shared" si="23"/>
        <v>-174.00521997602647</v>
      </c>
      <c r="CV31" s="99">
        <f t="shared" si="24"/>
        <v>17773.306200000003</v>
      </c>
      <c r="CW31" s="99">
        <f t="shared" si="25"/>
        <v>4247.8201817999989</v>
      </c>
    </row>
    <row r="32" spans="1:101" hidden="1" outlineLevel="1" x14ac:dyDescent="0.35">
      <c r="A32">
        <v>30</v>
      </c>
      <c r="B32" s="100" t="s">
        <v>116</v>
      </c>
      <c r="C32" s="101" t="s">
        <v>78</v>
      </c>
      <c r="D32" s="102">
        <v>5100</v>
      </c>
      <c r="E32" s="103" t="s">
        <v>117</v>
      </c>
      <c r="F32" s="104" t="s">
        <v>60</v>
      </c>
      <c r="G32" s="63"/>
      <c r="H32" s="64" t="s">
        <v>55</v>
      </c>
      <c r="I32" s="65" t="s">
        <v>56</v>
      </c>
      <c r="J32" s="66" t="s">
        <v>56</v>
      </c>
      <c r="K32" s="106">
        <f>(10*8)-5</f>
        <v>75</v>
      </c>
      <c r="L32" s="107">
        <f>((15-1.5)*8)-2</f>
        <v>106</v>
      </c>
      <c r="M32" s="107">
        <f>((15-1.5)*8+2*12)-2</f>
        <v>130</v>
      </c>
      <c r="N32" s="108">
        <f t="shared" si="33"/>
        <v>154</v>
      </c>
      <c r="O32" s="109">
        <f t="shared" si="17"/>
        <v>382.5</v>
      </c>
      <c r="P32" s="110">
        <f t="shared" si="17"/>
        <v>540.6</v>
      </c>
      <c r="Q32" s="110">
        <f t="shared" si="17"/>
        <v>663</v>
      </c>
      <c r="R32" s="111">
        <f t="shared" si="17"/>
        <v>785.4</v>
      </c>
      <c r="S32" s="112">
        <f t="shared" si="18"/>
        <v>0</v>
      </c>
      <c r="T32" s="110">
        <f t="shared" si="18"/>
        <v>0</v>
      </c>
      <c r="U32" s="110">
        <f t="shared" si="18"/>
        <v>0</v>
      </c>
      <c r="V32" s="111">
        <f t="shared" si="18"/>
        <v>0</v>
      </c>
      <c r="W32" s="113">
        <v>0.84299999999999997</v>
      </c>
      <c r="X32" s="114">
        <f t="shared" si="19"/>
        <v>322.44749999999999</v>
      </c>
      <c r="Y32" s="115">
        <f t="shared" si="19"/>
        <v>455.72579999999999</v>
      </c>
      <c r="Z32" s="115">
        <f t="shared" si="19"/>
        <v>558.90899999999999</v>
      </c>
      <c r="AA32" s="116">
        <f t="shared" si="19"/>
        <v>662.09219999999993</v>
      </c>
      <c r="AB32" s="117">
        <f t="shared" si="19"/>
        <v>0</v>
      </c>
      <c r="AC32" s="118">
        <f t="shared" si="19"/>
        <v>0</v>
      </c>
      <c r="AD32" s="118">
        <f t="shared" si="19"/>
        <v>0</v>
      </c>
      <c r="AE32" s="119">
        <f t="shared" si="19"/>
        <v>0</v>
      </c>
      <c r="AF32" s="81"/>
      <c r="AG32" s="120">
        <f t="shared" si="8"/>
        <v>0</v>
      </c>
      <c r="AH32" s="121">
        <f t="shared" si="9"/>
        <v>0</v>
      </c>
      <c r="AI32" s="122">
        <f t="shared" si="10"/>
        <v>0</v>
      </c>
      <c r="AJ32" s="123">
        <v>0.75</v>
      </c>
      <c r="AL32" s="87"/>
      <c r="AM32" s="87"/>
      <c r="AN32" s="88"/>
      <c r="AY32" s="89"/>
      <c r="AZ32" s="90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2"/>
      <c r="BL32" s="88"/>
      <c r="BW32" s="89"/>
      <c r="BX32" s="96"/>
      <c r="BY32" s="97"/>
      <c r="BZ32" s="97"/>
      <c r="CA32" s="97"/>
      <c r="CB32" s="97"/>
      <c r="CC32" s="97"/>
      <c r="CD32" s="97"/>
      <c r="CE32" s="97"/>
      <c r="CF32" s="97"/>
      <c r="CG32" s="97"/>
      <c r="CH32" s="97"/>
      <c r="CI32" s="98"/>
      <c r="CJ32" s="96">
        <f t="shared" si="23"/>
        <v>0</v>
      </c>
      <c r="CK32" s="97">
        <f t="shared" si="23"/>
        <v>0</v>
      </c>
      <c r="CL32" s="97">
        <f t="shared" si="23"/>
        <v>0</v>
      </c>
      <c r="CM32" s="97">
        <f t="shared" si="23"/>
        <v>0</v>
      </c>
      <c r="CN32" s="97">
        <f t="shared" si="23"/>
        <v>0</v>
      </c>
      <c r="CO32" s="97">
        <f t="shared" si="23"/>
        <v>0</v>
      </c>
      <c r="CP32" s="97">
        <f t="shared" si="23"/>
        <v>0</v>
      </c>
      <c r="CQ32" s="97">
        <f t="shared" si="23"/>
        <v>0</v>
      </c>
      <c r="CR32" s="97">
        <f t="shared" si="23"/>
        <v>0</v>
      </c>
      <c r="CS32" s="97">
        <f t="shared" si="23"/>
        <v>0</v>
      </c>
      <c r="CT32" s="97">
        <f t="shared" si="23"/>
        <v>0</v>
      </c>
      <c r="CU32" s="98">
        <f t="shared" si="23"/>
        <v>0</v>
      </c>
      <c r="CV32" s="99">
        <f t="shared" si="24"/>
        <v>0</v>
      </c>
      <c r="CW32" s="99">
        <f t="shared" si="25"/>
        <v>0</v>
      </c>
    </row>
    <row r="33" spans="1:101" hidden="1" outlineLevel="1" x14ac:dyDescent="0.35">
      <c r="A33">
        <v>31</v>
      </c>
      <c r="B33" s="100" t="s">
        <v>116</v>
      </c>
      <c r="C33" s="101" t="s">
        <v>78</v>
      </c>
      <c r="D33" s="102">
        <v>5100</v>
      </c>
      <c r="E33" s="103" t="s">
        <v>117</v>
      </c>
      <c r="F33" s="104" t="s">
        <v>60</v>
      </c>
      <c r="G33" s="63"/>
      <c r="H33" s="105" t="s">
        <v>76</v>
      </c>
      <c r="I33" s="65" t="s">
        <v>56</v>
      </c>
      <c r="J33" s="66" t="s">
        <v>56</v>
      </c>
      <c r="K33" s="106">
        <f>(10*8)-5</f>
        <v>75</v>
      </c>
      <c r="L33" s="107">
        <f>((15-1.5)*8)-2</f>
        <v>106</v>
      </c>
      <c r="M33" s="107">
        <f>((15-1.5)*8+2*12)-2</f>
        <v>130</v>
      </c>
      <c r="N33" s="108">
        <f t="shared" si="33"/>
        <v>154</v>
      </c>
      <c r="O33" s="109">
        <f t="shared" si="17"/>
        <v>382.5</v>
      </c>
      <c r="P33" s="110">
        <f t="shared" si="17"/>
        <v>540.6</v>
      </c>
      <c r="Q33" s="110">
        <f t="shared" si="17"/>
        <v>663</v>
      </c>
      <c r="R33" s="111">
        <f t="shared" si="17"/>
        <v>785.4</v>
      </c>
      <c r="S33" s="112">
        <f t="shared" si="18"/>
        <v>0</v>
      </c>
      <c r="T33" s="110">
        <f t="shared" si="18"/>
        <v>0</v>
      </c>
      <c r="U33" s="110">
        <f t="shared" si="18"/>
        <v>0</v>
      </c>
      <c r="V33" s="111">
        <f t="shared" si="18"/>
        <v>0</v>
      </c>
      <c r="W33" s="113">
        <v>0.84299999999999997</v>
      </c>
      <c r="X33" s="114">
        <f t="shared" si="19"/>
        <v>322.44749999999999</v>
      </c>
      <c r="Y33" s="115">
        <f t="shared" si="19"/>
        <v>455.72579999999999</v>
      </c>
      <c r="Z33" s="115">
        <f t="shared" si="19"/>
        <v>558.90899999999999</v>
      </c>
      <c r="AA33" s="116">
        <f t="shared" si="19"/>
        <v>662.09219999999993</v>
      </c>
      <c r="AB33" s="117">
        <f t="shared" si="19"/>
        <v>0</v>
      </c>
      <c r="AC33" s="118">
        <f t="shared" si="19"/>
        <v>0</v>
      </c>
      <c r="AD33" s="118">
        <f t="shared" si="19"/>
        <v>0</v>
      </c>
      <c r="AE33" s="119">
        <f t="shared" si="19"/>
        <v>0</v>
      </c>
      <c r="AF33" s="81"/>
      <c r="AG33" s="120">
        <f t="shared" si="8"/>
        <v>0</v>
      </c>
      <c r="AH33" s="121">
        <f t="shared" si="9"/>
        <v>0</v>
      </c>
      <c r="AI33" s="122">
        <f t="shared" si="10"/>
        <v>0</v>
      </c>
      <c r="AJ33" s="123">
        <v>0.75</v>
      </c>
      <c r="AL33" s="87"/>
      <c r="AM33" s="87"/>
      <c r="AN33" s="88"/>
      <c r="AY33" s="89"/>
      <c r="AZ33" s="90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2"/>
      <c r="BL33" s="88"/>
      <c r="BW33" s="89"/>
      <c r="BX33" s="96"/>
      <c r="BY33" s="97"/>
      <c r="BZ33" s="97"/>
      <c r="CA33" s="97"/>
      <c r="CB33" s="97"/>
      <c r="CC33" s="97"/>
      <c r="CD33" s="97"/>
      <c r="CE33" s="97"/>
      <c r="CF33" s="97"/>
      <c r="CG33" s="97"/>
      <c r="CH33" s="97"/>
      <c r="CI33" s="98"/>
      <c r="CJ33" s="96">
        <f t="shared" si="23"/>
        <v>0</v>
      </c>
      <c r="CK33" s="97">
        <f t="shared" si="23"/>
        <v>0</v>
      </c>
      <c r="CL33" s="97">
        <f t="shared" si="23"/>
        <v>0</v>
      </c>
      <c r="CM33" s="97">
        <f t="shared" si="23"/>
        <v>0</v>
      </c>
      <c r="CN33" s="97">
        <f t="shared" si="23"/>
        <v>0</v>
      </c>
      <c r="CO33" s="97">
        <f t="shared" si="23"/>
        <v>0</v>
      </c>
      <c r="CP33" s="97">
        <f t="shared" si="23"/>
        <v>0</v>
      </c>
      <c r="CQ33" s="97">
        <f t="shared" si="23"/>
        <v>0</v>
      </c>
      <c r="CR33" s="97">
        <f t="shared" si="23"/>
        <v>0</v>
      </c>
      <c r="CS33" s="97">
        <f t="shared" si="23"/>
        <v>0</v>
      </c>
      <c r="CT33" s="97">
        <f t="shared" si="23"/>
        <v>0</v>
      </c>
      <c r="CU33" s="98">
        <f t="shared" si="23"/>
        <v>0</v>
      </c>
      <c r="CV33" s="99">
        <f t="shared" si="24"/>
        <v>0</v>
      </c>
      <c r="CW33" s="99">
        <f t="shared" si="25"/>
        <v>0</v>
      </c>
    </row>
    <row r="34" spans="1:101" collapsed="1" x14ac:dyDescent="0.35">
      <c r="A34">
        <v>32</v>
      </c>
      <c r="B34" s="100" t="s">
        <v>116</v>
      </c>
      <c r="C34" s="101" t="s">
        <v>118</v>
      </c>
      <c r="D34" s="102">
        <v>5100</v>
      </c>
      <c r="E34" s="103" t="s">
        <v>117</v>
      </c>
      <c r="F34" s="104" t="s">
        <v>60</v>
      </c>
      <c r="G34" s="63">
        <v>0.23300000000000001</v>
      </c>
      <c r="H34" s="105" t="s">
        <v>61</v>
      </c>
      <c r="I34" s="65" t="s">
        <v>56</v>
      </c>
      <c r="J34" s="66" t="s">
        <v>56</v>
      </c>
      <c r="K34" s="106">
        <f>(10*8)-5</f>
        <v>75</v>
      </c>
      <c r="L34" s="107">
        <f>((15-1.5)*8)-2</f>
        <v>106</v>
      </c>
      <c r="M34" s="107">
        <f>((15-1.5)*8+2*12)-2</f>
        <v>130</v>
      </c>
      <c r="N34" s="108">
        <f t="shared" si="33"/>
        <v>154</v>
      </c>
      <c r="O34" s="109">
        <f t="shared" si="17"/>
        <v>382.5</v>
      </c>
      <c r="P34" s="110">
        <f t="shared" si="17"/>
        <v>540.6</v>
      </c>
      <c r="Q34" s="110">
        <f t="shared" si="17"/>
        <v>663</v>
      </c>
      <c r="R34" s="111">
        <f t="shared" si="17"/>
        <v>785.4</v>
      </c>
      <c r="S34" s="112">
        <f t="shared" si="18"/>
        <v>4634.37</v>
      </c>
      <c r="T34" s="110">
        <f t="shared" si="18"/>
        <v>6549.9096000000009</v>
      </c>
      <c r="U34" s="110">
        <f t="shared" si="18"/>
        <v>8032.9080000000004</v>
      </c>
      <c r="V34" s="111">
        <f t="shared" si="18"/>
        <v>9515.9063999999998</v>
      </c>
      <c r="W34" s="113">
        <v>0.79500000000000004</v>
      </c>
      <c r="X34" s="114">
        <f t="shared" si="19"/>
        <v>304.08750000000003</v>
      </c>
      <c r="Y34" s="115">
        <f t="shared" si="19"/>
        <v>429.77700000000004</v>
      </c>
      <c r="Z34" s="115">
        <f t="shared" si="19"/>
        <v>527.08500000000004</v>
      </c>
      <c r="AA34" s="116">
        <f t="shared" si="19"/>
        <v>624.39300000000003</v>
      </c>
      <c r="AB34" s="117">
        <f t="shared" si="19"/>
        <v>3684.3241499999999</v>
      </c>
      <c r="AC34" s="118">
        <f t="shared" si="19"/>
        <v>5207.1781320000009</v>
      </c>
      <c r="AD34" s="118">
        <f t="shared" si="19"/>
        <v>6386.1618600000002</v>
      </c>
      <c r="AE34" s="119">
        <f t="shared" si="19"/>
        <v>7565.1455880000003</v>
      </c>
      <c r="AF34" s="81" t="s">
        <v>32</v>
      </c>
      <c r="AG34" s="120">
        <f t="shared" si="8"/>
        <v>22348.404000000002</v>
      </c>
      <c r="AH34" s="121">
        <f t="shared" si="9"/>
        <v>1848.0411000000001</v>
      </c>
      <c r="AI34" s="122">
        <f t="shared" si="10"/>
        <v>5207.1781320000009</v>
      </c>
      <c r="AJ34" s="123">
        <v>0.75</v>
      </c>
      <c r="AK34" s="86">
        <f>SUM(AN34:AY34)</f>
        <v>18047.871887780879</v>
      </c>
      <c r="AL34" s="87">
        <f>AK34/AG34</f>
        <v>0.80756871442725298</v>
      </c>
      <c r="AM34" s="87">
        <f t="shared" si="20"/>
        <v>1.076758285903004</v>
      </c>
      <c r="AN34" s="88">
        <v>1156.377754818046</v>
      </c>
      <c r="AO34">
        <v>1040.1891582215312</v>
      </c>
      <c r="AP34">
        <v>1308.3352967824862</v>
      </c>
      <c r="AQ34">
        <v>1779.2496486381658</v>
      </c>
      <c r="AR34">
        <v>1730.0330488869934</v>
      </c>
      <c r="AS34">
        <v>1862.4458644368572</v>
      </c>
      <c r="AT34">
        <v>1518.1288600645398</v>
      </c>
      <c r="AU34">
        <v>1637.4751084253662</v>
      </c>
      <c r="AV34">
        <v>1834.8692155839869</v>
      </c>
      <c r="AW34">
        <v>1404.0765610857388</v>
      </c>
      <c r="AX34">
        <v>1479.3374571425963</v>
      </c>
      <c r="AY34" s="89">
        <v>1297.3539136945724</v>
      </c>
      <c r="AZ34" s="90">
        <f t="shared" ref="AZ34:BK34" si="36">AZ$1*HLOOKUP($AF34,$X$3:$AA$84,$A34,FALSE)</f>
        <v>2148.8850000000002</v>
      </c>
      <c r="BA34" s="91">
        <f t="shared" si="36"/>
        <v>1719.1080000000002</v>
      </c>
      <c r="BB34" s="91">
        <f t="shared" si="36"/>
        <v>1719.1080000000002</v>
      </c>
      <c r="BC34" s="91">
        <f t="shared" si="36"/>
        <v>2148.8850000000002</v>
      </c>
      <c r="BD34" s="91">
        <f t="shared" si="36"/>
        <v>1719.1080000000002</v>
      </c>
      <c r="BE34" s="91">
        <f t="shared" si="36"/>
        <v>1719.1080000000002</v>
      </c>
      <c r="BF34" s="91">
        <f t="shared" si="36"/>
        <v>2148.8850000000002</v>
      </c>
      <c r="BG34" s="91">
        <f t="shared" si="36"/>
        <v>1719.1080000000002</v>
      </c>
      <c r="BH34" s="91">
        <f t="shared" si="36"/>
        <v>1719.1080000000002</v>
      </c>
      <c r="BI34" s="91">
        <f t="shared" si="36"/>
        <v>2148.8850000000002</v>
      </c>
      <c r="BJ34" s="91">
        <f t="shared" si="36"/>
        <v>1719.1080000000002</v>
      </c>
      <c r="BK34" s="92">
        <f t="shared" si="36"/>
        <v>1719.1080000000002</v>
      </c>
      <c r="BL34" s="93">
        <f t="shared" ref="BL34:BW34" si="37">AN34/AZ34</f>
        <v>0.53812919482338328</v>
      </c>
      <c r="BM34" s="94">
        <f t="shared" si="37"/>
        <v>0.60507493317553707</v>
      </c>
      <c r="BN34" s="94">
        <f t="shared" si="37"/>
        <v>0.76105474279829199</v>
      </c>
      <c r="BO34" s="94">
        <f t="shared" si="37"/>
        <v>0.82798737421414625</v>
      </c>
      <c r="BP34" s="94">
        <f t="shared" si="37"/>
        <v>1.0063550683767355</v>
      </c>
      <c r="BQ34" s="94">
        <f t="shared" si="37"/>
        <v>1.0833792085412068</v>
      </c>
      <c r="BR34" s="94">
        <f t="shared" si="37"/>
        <v>0.70647282663545963</v>
      </c>
      <c r="BS34" s="94">
        <f t="shared" si="37"/>
        <v>0.95251439026830542</v>
      </c>
      <c r="BT34" s="94">
        <f t="shared" si="37"/>
        <v>1.0673379540924635</v>
      </c>
      <c r="BU34" s="94">
        <f t="shared" si="37"/>
        <v>0.65339772071829749</v>
      </c>
      <c r="BV34" s="94">
        <f t="shared" si="37"/>
        <v>0.860526189827862</v>
      </c>
      <c r="BW34" s="95">
        <f t="shared" si="37"/>
        <v>0.75466690498477829</v>
      </c>
      <c r="BX34" s="96">
        <f t="shared" si="22"/>
        <v>992.5072451819542</v>
      </c>
      <c r="BY34" s="97">
        <f t="shared" si="22"/>
        <v>678.91884177846896</v>
      </c>
      <c r="BZ34" s="97">
        <f t="shared" si="22"/>
        <v>410.77270321751394</v>
      </c>
      <c r="CA34" s="97">
        <f t="shared" si="22"/>
        <v>369.63535136183441</v>
      </c>
      <c r="CB34" s="97">
        <f t="shared" si="22"/>
        <v>-10.925048886993181</v>
      </c>
      <c r="CC34" s="97">
        <f t="shared" si="22"/>
        <v>-143.33786443685699</v>
      </c>
      <c r="CD34" s="97">
        <f t="shared" si="22"/>
        <v>630.7561399354604</v>
      </c>
      <c r="CE34" s="97">
        <f t="shared" si="22"/>
        <v>81.632891574633959</v>
      </c>
      <c r="CF34" s="97">
        <f t="shared" si="22"/>
        <v>-115.76121558398677</v>
      </c>
      <c r="CG34" s="97">
        <f t="shared" si="22"/>
        <v>744.80843891426139</v>
      </c>
      <c r="CH34" s="97">
        <f t="shared" si="22"/>
        <v>239.77054285740383</v>
      </c>
      <c r="CI34" s="98">
        <f t="shared" si="22"/>
        <v>421.75408630542779</v>
      </c>
      <c r="CJ34" s="96">
        <f t="shared" si="23"/>
        <v>744.38043388646565</v>
      </c>
      <c r="CK34" s="97">
        <f t="shared" si="23"/>
        <v>509.18913133385172</v>
      </c>
      <c r="CL34" s="97">
        <f t="shared" si="23"/>
        <v>308.07952741313545</v>
      </c>
      <c r="CM34" s="97">
        <f t="shared" si="23"/>
        <v>277.22651352137581</v>
      </c>
      <c r="CN34" s="97">
        <f t="shared" si="23"/>
        <v>-8.1937866652448861</v>
      </c>
      <c r="CO34" s="97">
        <f t="shared" si="23"/>
        <v>-107.50339832764274</v>
      </c>
      <c r="CP34" s="97">
        <f t="shared" si="23"/>
        <v>473.0671049515953</v>
      </c>
      <c r="CQ34" s="97">
        <f t="shared" si="23"/>
        <v>61.224668680975469</v>
      </c>
      <c r="CR34" s="97">
        <f t="shared" si="23"/>
        <v>-86.820911687990076</v>
      </c>
      <c r="CS34" s="97">
        <f t="shared" si="23"/>
        <v>558.60632918569604</v>
      </c>
      <c r="CT34" s="97">
        <f t="shared" si="23"/>
        <v>179.82790714305287</v>
      </c>
      <c r="CU34" s="98">
        <f t="shared" si="23"/>
        <v>316.31556472907084</v>
      </c>
      <c r="CV34" s="99">
        <f t="shared" si="24"/>
        <v>16761.303</v>
      </c>
      <c r="CW34" s="99">
        <f t="shared" si="25"/>
        <v>3905.3835990000007</v>
      </c>
    </row>
    <row r="35" spans="1:101" x14ac:dyDescent="0.35">
      <c r="A35">
        <v>33</v>
      </c>
      <c r="B35" s="129" t="s">
        <v>116</v>
      </c>
      <c r="C35" s="130" t="s">
        <v>83</v>
      </c>
      <c r="D35" s="131"/>
      <c r="E35" s="132"/>
      <c r="F35" s="133"/>
      <c r="G35" s="134"/>
      <c r="H35" s="135"/>
      <c r="I35" s="136"/>
      <c r="J35" s="137"/>
      <c r="K35" s="138"/>
      <c r="L35" s="139"/>
      <c r="M35" s="139"/>
      <c r="N35" s="140"/>
      <c r="O35" s="141"/>
      <c r="P35" s="142"/>
      <c r="Q35" s="142"/>
      <c r="R35" s="143"/>
      <c r="S35" s="144"/>
      <c r="T35" s="142"/>
      <c r="U35" s="142"/>
      <c r="V35" s="143"/>
      <c r="W35" s="145"/>
      <c r="X35" s="144"/>
      <c r="Y35" s="142"/>
      <c r="Z35" s="142"/>
      <c r="AA35" s="143"/>
      <c r="AB35" s="146"/>
      <c r="AC35" s="147"/>
      <c r="AD35" s="147"/>
      <c r="AE35" s="148"/>
      <c r="AF35" s="81"/>
      <c r="AG35" s="149">
        <f t="shared" si="8"/>
        <v>0</v>
      </c>
      <c r="AH35" s="150">
        <f t="shared" si="9"/>
        <v>0</v>
      </c>
      <c r="AI35" s="151"/>
      <c r="AJ35" s="122"/>
      <c r="AK35" s="86"/>
      <c r="AL35" s="87"/>
      <c r="AM35" s="87"/>
      <c r="AN35" s="88"/>
      <c r="AY35" s="89"/>
      <c r="AZ35" s="90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2"/>
      <c r="BL35" s="88"/>
      <c r="BW35" s="89"/>
      <c r="BX35" s="96"/>
      <c r="BY35" s="97"/>
      <c r="BZ35" s="97"/>
      <c r="CA35" s="97"/>
      <c r="CB35" s="97"/>
      <c r="CC35" s="97"/>
      <c r="CD35" s="97"/>
      <c r="CE35" s="97"/>
      <c r="CF35" s="97"/>
      <c r="CG35" s="97"/>
      <c r="CH35" s="97"/>
      <c r="CI35" s="98"/>
      <c r="CJ35" s="96">
        <f t="shared" si="23"/>
        <v>0</v>
      </c>
      <c r="CK35" s="97">
        <f t="shared" si="23"/>
        <v>0</v>
      </c>
      <c r="CL35" s="97">
        <f t="shared" si="23"/>
        <v>0</v>
      </c>
      <c r="CM35" s="97">
        <f t="shared" si="23"/>
        <v>0</v>
      </c>
      <c r="CN35" s="97">
        <f t="shared" si="23"/>
        <v>0</v>
      </c>
      <c r="CO35" s="97">
        <f t="shared" si="23"/>
        <v>0</v>
      </c>
      <c r="CP35" s="97">
        <f t="shared" si="23"/>
        <v>0</v>
      </c>
      <c r="CQ35" s="97">
        <f t="shared" si="23"/>
        <v>0</v>
      </c>
      <c r="CR35" s="97">
        <f t="shared" si="23"/>
        <v>0</v>
      </c>
      <c r="CS35" s="97">
        <f t="shared" si="23"/>
        <v>0</v>
      </c>
      <c r="CT35" s="97">
        <f t="shared" si="23"/>
        <v>0</v>
      </c>
      <c r="CU35" s="98">
        <f t="shared" si="23"/>
        <v>0</v>
      </c>
      <c r="CV35" s="99">
        <f t="shared" si="24"/>
        <v>0</v>
      </c>
      <c r="CW35" s="99">
        <f t="shared" si="25"/>
        <v>0</v>
      </c>
    </row>
    <row r="36" spans="1:101" x14ac:dyDescent="0.35">
      <c r="A36">
        <v>34</v>
      </c>
      <c r="B36" s="100" t="s">
        <v>116</v>
      </c>
      <c r="C36" s="101" t="s">
        <v>119</v>
      </c>
      <c r="D36" s="125">
        <f>AVERAGE(D37:D39)</f>
        <v>4440</v>
      </c>
      <c r="E36" s="103"/>
      <c r="F36" s="104" t="s">
        <v>120</v>
      </c>
      <c r="G36" s="63">
        <v>0.38</v>
      </c>
      <c r="H36" s="105" t="s">
        <v>85</v>
      </c>
      <c r="I36" s="65" t="s">
        <v>86</v>
      </c>
      <c r="J36" s="66" t="s">
        <v>86</v>
      </c>
      <c r="K36" s="106">
        <f>(10*8)-5</f>
        <v>75</v>
      </c>
      <c r="L36" s="107">
        <f>((15-1.5)*8)-2</f>
        <v>106</v>
      </c>
      <c r="M36" s="107">
        <f>((15-1.5)*8+2*12)-2</f>
        <v>130</v>
      </c>
      <c r="N36" s="108">
        <f>((21-1.5)*8)-2</f>
        <v>154</v>
      </c>
      <c r="O36" s="109">
        <f t="shared" si="17"/>
        <v>333</v>
      </c>
      <c r="P36" s="110">
        <f t="shared" si="17"/>
        <v>470.64</v>
      </c>
      <c r="Q36" s="110">
        <f t="shared" si="17"/>
        <v>577.20000000000005</v>
      </c>
      <c r="R36" s="111">
        <f t="shared" si="17"/>
        <v>683.76</v>
      </c>
      <c r="S36" s="112">
        <f t="shared" si="18"/>
        <v>6580.08</v>
      </c>
      <c r="T36" s="110">
        <f t="shared" si="18"/>
        <v>9299.8464000000004</v>
      </c>
      <c r="U36" s="110">
        <f t="shared" si="18"/>
        <v>11405.472000000002</v>
      </c>
      <c r="V36" s="111">
        <f t="shared" si="18"/>
        <v>13511.097600000001</v>
      </c>
      <c r="W36" s="113">
        <v>0.80500000000000005</v>
      </c>
      <c r="X36" s="114">
        <f t="shared" si="19"/>
        <v>268.065</v>
      </c>
      <c r="Y36" s="115">
        <f t="shared" si="19"/>
        <v>378.86520000000002</v>
      </c>
      <c r="Z36" s="115">
        <f t="shared" si="19"/>
        <v>464.64600000000007</v>
      </c>
      <c r="AA36" s="116">
        <f t="shared" si="19"/>
        <v>550.42680000000007</v>
      </c>
      <c r="AB36" s="117">
        <f t="shared" si="19"/>
        <v>5296.9643999999998</v>
      </c>
      <c r="AC36" s="118">
        <f t="shared" si="19"/>
        <v>7486.3763520000011</v>
      </c>
      <c r="AD36" s="118">
        <f t="shared" si="19"/>
        <v>9181.4049600000017</v>
      </c>
      <c r="AE36" s="119">
        <f t="shared" si="19"/>
        <v>10876.433568000002</v>
      </c>
      <c r="AF36" s="81" t="s">
        <v>32</v>
      </c>
      <c r="AG36" s="120">
        <f t="shared" si="8"/>
        <v>19700.990400000002</v>
      </c>
      <c r="AH36" s="121">
        <f t="shared" si="9"/>
        <v>1629.1203599999999</v>
      </c>
      <c r="AI36" s="122">
        <f>IF(AF36="",0,HLOOKUP(AF36,$AB$3:$AE$84,A36,FALSE))</f>
        <v>7486.3763520000011</v>
      </c>
      <c r="AJ36" s="123">
        <v>0.9</v>
      </c>
      <c r="AK36" s="86">
        <f>SUM(AN36:AY36)</f>
        <v>18743.292658167527</v>
      </c>
      <c r="AL36" s="87">
        <f>AK36/AG36</f>
        <v>0.95138834533757877</v>
      </c>
      <c r="AM36" s="87">
        <f t="shared" si="20"/>
        <v>1.0570981614861987</v>
      </c>
      <c r="AN36" s="88">
        <v>1324.1619495473228</v>
      </c>
      <c r="AO36">
        <v>1139.8380563808778</v>
      </c>
      <c r="AP36">
        <v>1517.5996929273008</v>
      </c>
      <c r="AQ36">
        <v>1775.9913671397408</v>
      </c>
      <c r="AR36">
        <v>1863.3449603400777</v>
      </c>
      <c r="AS36">
        <v>1741.6939642653074</v>
      </c>
      <c r="AT36">
        <v>1590.7630319105954</v>
      </c>
      <c r="AU36">
        <v>1420.2461336998967</v>
      </c>
      <c r="AV36">
        <v>1585.4478969972215</v>
      </c>
      <c r="AW36">
        <v>1591.3523629403987</v>
      </c>
      <c r="AX36">
        <v>1666.8965492885923</v>
      </c>
      <c r="AY36" s="89">
        <v>1525.9566927301921</v>
      </c>
      <c r="AZ36" s="90">
        <f t="shared" ref="AZ36:BK36" si="38">AZ$1*HLOOKUP($AF36,$X$3:$AA$84,$A36,FALSE)</f>
        <v>1894.326</v>
      </c>
      <c r="BA36" s="91">
        <f t="shared" si="38"/>
        <v>1515.4608000000001</v>
      </c>
      <c r="BB36" s="91">
        <f t="shared" si="38"/>
        <v>1515.4608000000001</v>
      </c>
      <c r="BC36" s="91">
        <f t="shared" si="38"/>
        <v>1894.326</v>
      </c>
      <c r="BD36" s="91">
        <f t="shared" si="38"/>
        <v>1515.4608000000001</v>
      </c>
      <c r="BE36" s="91">
        <f t="shared" si="38"/>
        <v>1515.4608000000001</v>
      </c>
      <c r="BF36" s="91">
        <f t="shared" si="38"/>
        <v>1894.326</v>
      </c>
      <c r="BG36" s="91">
        <f t="shared" si="38"/>
        <v>1515.4608000000001</v>
      </c>
      <c r="BH36" s="91">
        <f t="shared" si="38"/>
        <v>1515.4608000000001</v>
      </c>
      <c r="BI36" s="91">
        <f t="shared" si="38"/>
        <v>1894.326</v>
      </c>
      <c r="BJ36" s="91">
        <f t="shared" si="38"/>
        <v>1515.4608000000001</v>
      </c>
      <c r="BK36" s="92">
        <f t="shared" si="38"/>
        <v>1515.4608000000001</v>
      </c>
      <c r="BL36" s="93">
        <f t="shared" ref="BL36:BW36" si="39">AN36/AZ36</f>
        <v>0.6990148208636332</v>
      </c>
      <c r="BM36" s="94">
        <f t="shared" si="39"/>
        <v>0.75213958446228224</v>
      </c>
      <c r="BN36" s="94">
        <f t="shared" si="39"/>
        <v>1.0014113812295908</v>
      </c>
      <c r="BO36" s="94">
        <f t="shared" si="39"/>
        <v>0.93753206530435662</v>
      </c>
      <c r="BP36" s="94">
        <f t="shared" si="39"/>
        <v>1.2295566868770724</v>
      </c>
      <c r="BQ36" s="94">
        <f t="shared" si="39"/>
        <v>1.1492834154900657</v>
      </c>
      <c r="BR36" s="94">
        <f t="shared" si="39"/>
        <v>0.83975146406193835</v>
      </c>
      <c r="BS36" s="94">
        <f t="shared" si="39"/>
        <v>0.93717114537036961</v>
      </c>
      <c r="BT36" s="94">
        <f t="shared" si="39"/>
        <v>1.0461820569672415</v>
      </c>
      <c r="BU36" s="94">
        <f t="shared" si="39"/>
        <v>0.84006256734078433</v>
      </c>
      <c r="BV36" s="94">
        <f t="shared" si="39"/>
        <v>1.099927196591685</v>
      </c>
      <c r="BW36" s="95">
        <f t="shared" si="39"/>
        <v>1.0069258754368255</v>
      </c>
      <c r="BX36" s="96">
        <f t="shared" si="22"/>
        <v>570.1640504526772</v>
      </c>
      <c r="BY36" s="97">
        <f t="shared" si="22"/>
        <v>375.62274361912228</v>
      </c>
      <c r="BZ36" s="97">
        <f t="shared" si="22"/>
        <v>-2.1388929273007307</v>
      </c>
      <c r="CA36" s="97">
        <f t="shared" si="22"/>
        <v>118.33463286025926</v>
      </c>
      <c r="CB36" s="97">
        <f t="shared" si="22"/>
        <v>-347.88416034007764</v>
      </c>
      <c r="CC36" s="97">
        <f t="shared" si="22"/>
        <v>-226.23316426530732</v>
      </c>
      <c r="CD36" s="97">
        <f t="shared" si="22"/>
        <v>303.56296808940465</v>
      </c>
      <c r="CE36" s="97">
        <f t="shared" si="22"/>
        <v>95.214666300103318</v>
      </c>
      <c r="CF36" s="97">
        <f t="shared" si="22"/>
        <v>-69.987096997221443</v>
      </c>
      <c r="CG36" s="97">
        <f t="shared" si="22"/>
        <v>302.97363705960129</v>
      </c>
      <c r="CH36" s="97">
        <f t="shared" si="22"/>
        <v>-151.43574928859221</v>
      </c>
      <c r="CI36" s="98">
        <f t="shared" si="22"/>
        <v>-10.495892730192054</v>
      </c>
      <c r="CJ36" s="96">
        <f t="shared" si="23"/>
        <v>513.14764540740953</v>
      </c>
      <c r="CK36" s="97">
        <f t="shared" si="23"/>
        <v>338.06046925721006</v>
      </c>
      <c r="CL36" s="97">
        <f t="shared" si="23"/>
        <v>-1.9250036345706576</v>
      </c>
      <c r="CM36" s="97">
        <f t="shared" si="23"/>
        <v>106.50116957423334</v>
      </c>
      <c r="CN36" s="97">
        <f t="shared" si="23"/>
        <v>-313.09574430606989</v>
      </c>
      <c r="CO36" s="97">
        <f t="shared" si="23"/>
        <v>-203.6098478387766</v>
      </c>
      <c r="CP36" s="97">
        <f t="shared" si="23"/>
        <v>273.20667128046421</v>
      </c>
      <c r="CQ36" s="97">
        <f t="shared" si="23"/>
        <v>85.693199670092994</v>
      </c>
      <c r="CR36" s="97">
        <f t="shared" si="23"/>
        <v>-62.988387297499301</v>
      </c>
      <c r="CS36" s="97">
        <f t="shared" si="23"/>
        <v>272.67627335364119</v>
      </c>
      <c r="CT36" s="97">
        <f t="shared" si="23"/>
        <v>-136.292174359733</v>
      </c>
      <c r="CU36" s="98">
        <f t="shared" si="23"/>
        <v>-9.4463034571728492</v>
      </c>
      <c r="CV36" s="99">
        <f t="shared" si="24"/>
        <v>17730.891360000005</v>
      </c>
      <c r="CW36" s="99">
        <f t="shared" si="25"/>
        <v>6737.7387168000014</v>
      </c>
    </row>
    <row r="37" spans="1:101" hidden="1" outlineLevel="1" x14ac:dyDescent="0.35">
      <c r="A37">
        <v>35</v>
      </c>
      <c r="B37" s="100" t="s">
        <v>116</v>
      </c>
      <c r="C37" s="101" t="s">
        <v>119</v>
      </c>
      <c r="D37" s="102">
        <v>4800</v>
      </c>
      <c r="E37" s="103" t="s">
        <v>121</v>
      </c>
      <c r="F37" s="104" t="s">
        <v>122</v>
      </c>
      <c r="G37" s="63">
        <v>0.26</v>
      </c>
      <c r="H37" s="105" t="s">
        <v>61</v>
      </c>
      <c r="I37" s="65" t="s">
        <v>86</v>
      </c>
      <c r="J37" s="66" t="s">
        <v>86</v>
      </c>
      <c r="K37" s="106">
        <f>(10*8)-5</f>
        <v>75</v>
      </c>
      <c r="L37" s="107">
        <f>((15-1.5)*8)-2</f>
        <v>106</v>
      </c>
      <c r="M37" s="107">
        <f>((15-1.5)*8+2*12)-2</f>
        <v>130</v>
      </c>
      <c r="N37" s="108">
        <f>((21-1.5)*8)-2</f>
        <v>154</v>
      </c>
      <c r="O37" s="109">
        <f t="shared" si="17"/>
        <v>360</v>
      </c>
      <c r="P37" s="110">
        <f t="shared" si="17"/>
        <v>508.8</v>
      </c>
      <c r="Q37" s="110">
        <f t="shared" si="17"/>
        <v>624</v>
      </c>
      <c r="R37" s="111">
        <f t="shared" si="17"/>
        <v>739.2</v>
      </c>
      <c r="S37" s="112">
        <f t="shared" si="18"/>
        <v>4867.2000000000007</v>
      </c>
      <c r="T37" s="110">
        <f t="shared" si="18"/>
        <v>6878.9760000000006</v>
      </c>
      <c r="U37" s="110">
        <f t="shared" si="18"/>
        <v>8436.48</v>
      </c>
      <c r="V37" s="111">
        <f t="shared" si="18"/>
        <v>9993.9840000000004</v>
      </c>
      <c r="W37" s="113">
        <v>0.80500000000000005</v>
      </c>
      <c r="X37" s="114">
        <f t="shared" si="19"/>
        <v>289.8</v>
      </c>
      <c r="Y37" s="115">
        <f t="shared" si="19"/>
        <v>409.58400000000006</v>
      </c>
      <c r="Z37" s="115">
        <f t="shared" si="19"/>
        <v>502.32000000000005</v>
      </c>
      <c r="AA37" s="116">
        <f t="shared" si="19"/>
        <v>595.05600000000004</v>
      </c>
      <c r="AB37" s="117">
        <f t="shared" si="19"/>
        <v>3918.0960000000009</v>
      </c>
      <c r="AC37" s="118">
        <f t="shared" si="19"/>
        <v>5537.5756800000008</v>
      </c>
      <c r="AD37" s="118">
        <f t="shared" si="19"/>
        <v>6791.3663999999999</v>
      </c>
      <c r="AE37" s="119">
        <f t="shared" si="19"/>
        <v>8045.1571200000008</v>
      </c>
      <c r="AF37" s="81"/>
      <c r="AG37" s="120">
        <f t="shared" si="8"/>
        <v>0</v>
      </c>
      <c r="AH37" s="121">
        <f t="shared" si="9"/>
        <v>0</v>
      </c>
      <c r="AI37" s="122">
        <f>IF(AF37="",0,HLOOKUP(AF37,$AB$3:$AE$84,A37,FALSE))</f>
        <v>0</v>
      </c>
      <c r="AJ37" s="123">
        <v>0.9</v>
      </c>
      <c r="AL37" s="87"/>
      <c r="AM37" s="87"/>
      <c r="AN37" s="88"/>
      <c r="AY37" s="89"/>
      <c r="AZ37" s="90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2"/>
      <c r="BL37" s="88"/>
      <c r="BW37" s="89"/>
      <c r="BX37" s="96"/>
      <c r="BY37" s="97"/>
      <c r="BZ37" s="97"/>
      <c r="CA37" s="97"/>
      <c r="CB37" s="97"/>
      <c r="CC37" s="97"/>
      <c r="CD37" s="97"/>
      <c r="CE37" s="97"/>
      <c r="CF37" s="97"/>
      <c r="CG37" s="97"/>
      <c r="CH37" s="97"/>
      <c r="CI37" s="98"/>
      <c r="CJ37" s="96">
        <f t="shared" si="23"/>
        <v>0</v>
      </c>
      <c r="CK37" s="97">
        <f t="shared" si="23"/>
        <v>0</v>
      </c>
      <c r="CL37" s="97">
        <f t="shared" si="23"/>
        <v>0</v>
      </c>
      <c r="CM37" s="97">
        <f t="shared" si="23"/>
        <v>0</v>
      </c>
      <c r="CN37" s="97">
        <f t="shared" si="23"/>
        <v>0</v>
      </c>
      <c r="CO37" s="97">
        <f t="shared" si="23"/>
        <v>0</v>
      </c>
      <c r="CP37" s="97">
        <f t="shared" si="23"/>
        <v>0</v>
      </c>
      <c r="CQ37" s="97">
        <f t="shared" si="23"/>
        <v>0</v>
      </c>
      <c r="CR37" s="97">
        <f t="shared" si="23"/>
        <v>0</v>
      </c>
      <c r="CS37" s="97">
        <f t="shared" si="23"/>
        <v>0</v>
      </c>
      <c r="CT37" s="97">
        <f t="shared" si="23"/>
        <v>0</v>
      </c>
      <c r="CU37" s="98">
        <f t="shared" si="23"/>
        <v>0</v>
      </c>
      <c r="CV37" s="99">
        <f t="shared" si="24"/>
        <v>0</v>
      </c>
      <c r="CW37" s="99">
        <f t="shared" si="25"/>
        <v>0</v>
      </c>
    </row>
    <row r="38" spans="1:101" hidden="1" outlineLevel="1" x14ac:dyDescent="0.35">
      <c r="A38">
        <v>36</v>
      </c>
      <c r="B38" s="100" t="s">
        <v>116</v>
      </c>
      <c r="C38" s="101" t="s">
        <v>119</v>
      </c>
      <c r="D38" s="102">
        <v>4440</v>
      </c>
      <c r="E38" s="103" t="s">
        <v>123</v>
      </c>
      <c r="F38" s="104" t="s">
        <v>124</v>
      </c>
      <c r="G38" s="63">
        <v>0.26</v>
      </c>
      <c r="H38" s="64" t="s">
        <v>55</v>
      </c>
      <c r="I38" s="65" t="s">
        <v>86</v>
      </c>
      <c r="J38" s="66" t="s">
        <v>103</v>
      </c>
      <c r="K38" s="106">
        <f>(10*8)-5</f>
        <v>75</v>
      </c>
      <c r="L38" s="107">
        <f>((15-1.5)*8)-2</f>
        <v>106</v>
      </c>
      <c r="M38" s="107">
        <f>((15-1.5)*8+2*12)-2</f>
        <v>130</v>
      </c>
      <c r="N38" s="108">
        <f>((21-1.5)*8)-2</f>
        <v>154</v>
      </c>
      <c r="O38" s="109">
        <f t="shared" si="17"/>
        <v>333</v>
      </c>
      <c r="P38" s="110">
        <f t="shared" si="17"/>
        <v>470.64</v>
      </c>
      <c r="Q38" s="110">
        <f t="shared" si="17"/>
        <v>577.20000000000005</v>
      </c>
      <c r="R38" s="111">
        <f t="shared" si="17"/>
        <v>683.76</v>
      </c>
      <c r="S38" s="112">
        <f t="shared" si="18"/>
        <v>4502.16</v>
      </c>
      <c r="T38" s="110">
        <f t="shared" si="18"/>
        <v>6363.0527999999995</v>
      </c>
      <c r="U38" s="110">
        <f t="shared" si="18"/>
        <v>7803.7440000000015</v>
      </c>
      <c r="V38" s="111">
        <f t="shared" si="18"/>
        <v>9244.4351999999999</v>
      </c>
      <c r="W38" s="113">
        <v>1.8049999999999999</v>
      </c>
      <c r="X38" s="114">
        <f t="shared" si="19"/>
        <v>601.06499999999994</v>
      </c>
      <c r="Y38" s="115">
        <f t="shared" si="19"/>
        <v>849.50519999999995</v>
      </c>
      <c r="Z38" s="115">
        <f t="shared" si="19"/>
        <v>1041.846</v>
      </c>
      <c r="AA38" s="116">
        <f t="shared" si="19"/>
        <v>1234.1867999999999</v>
      </c>
      <c r="AB38" s="117">
        <f t="shared" si="19"/>
        <v>8126.398799999999</v>
      </c>
      <c r="AC38" s="118">
        <f t="shared" si="19"/>
        <v>11485.310303999999</v>
      </c>
      <c r="AD38" s="118">
        <f t="shared" si="19"/>
        <v>14085.757920000002</v>
      </c>
      <c r="AE38" s="119">
        <f t="shared" si="19"/>
        <v>16686.205535999998</v>
      </c>
      <c r="AF38" s="81"/>
      <c r="AG38" s="120">
        <f t="shared" si="8"/>
        <v>0</v>
      </c>
      <c r="AH38" s="121">
        <f t="shared" si="9"/>
        <v>0</v>
      </c>
      <c r="AI38" s="122">
        <f>IF(AF38="",0,HLOOKUP(AF38,$AB$3:$AE$84,A38,FALSE))</f>
        <v>0</v>
      </c>
      <c r="AJ38" s="123">
        <v>0.9</v>
      </c>
      <c r="AL38" s="87"/>
      <c r="AM38" s="87"/>
      <c r="AN38" s="88"/>
      <c r="AY38" s="89"/>
      <c r="AZ38" s="90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2"/>
      <c r="BL38" s="88"/>
      <c r="BW38" s="89"/>
      <c r="BX38" s="96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8"/>
      <c r="CJ38" s="96">
        <f t="shared" si="23"/>
        <v>0</v>
      </c>
      <c r="CK38" s="97">
        <f t="shared" si="23"/>
        <v>0</v>
      </c>
      <c r="CL38" s="97">
        <f t="shared" si="23"/>
        <v>0</v>
      </c>
      <c r="CM38" s="97">
        <f t="shared" si="23"/>
        <v>0</v>
      </c>
      <c r="CN38" s="97">
        <f t="shared" si="23"/>
        <v>0</v>
      </c>
      <c r="CO38" s="97">
        <f t="shared" si="23"/>
        <v>0</v>
      </c>
      <c r="CP38" s="97">
        <f t="shared" si="23"/>
        <v>0</v>
      </c>
      <c r="CQ38" s="97">
        <f t="shared" si="23"/>
        <v>0</v>
      </c>
      <c r="CR38" s="97">
        <f t="shared" si="23"/>
        <v>0</v>
      </c>
      <c r="CS38" s="97">
        <f t="shared" si="23"/>
        <v>0</v>
      </c>
      <c r="CT38" s="97">
        <f t="shared" si="23"/>
        <v>0</v>
      </c>
      <c r="CU38" s="98">
        <f t="shared" si="23"/>
        <v>0</v>
      </c>
      <c r="CV38" s="99">
        <f t="shared" si="24"/>
        <v>0</v>
      </c>
      <c r="CW38" s="99">
        <f t="shared" si="25"/>
        <v>0</v>
      </c>
    </row>
    <row r="39" spans="1:101" hidden="1" outlineLevel="1" x14ac:dyDescent="0.35">
      <c r="A39">
        <v>37</v>
      </c>
      <c r="B39" s="100" t="s">
        <v>116</v>
      </c>
      <c r="C39" s="101" t="s">
        <v>119</v>
      </c>
      <c r="D39" s="102">
        <v>4080</v>
      </c>
      <c r="E39" s="103" t="s">
        <v>79</v>
      </c>
      <c r="F39" s="104" t="s">
        <v>125</v>
      </c>
      <c r="G39" s="63">
        <v>0.38500000000000001</v>
      </c>
      <c r="H39" s="105" t="s">
        <v>76</v>
      </c>
      <c r="I39" s="65" t="s">
        <v>86</v>
      </c>
      <c r="J39" s="66" t="s">
        <v>86</v>
      </c>
      <c r="K39" s="106">
        <f>(10*8)-5</f>
        <v>75</v>
      </c>
      <c r="L39" s="107">
        <f>((15-1.5)*8)-2</f>
        <v>106</v>
      </c>
      <c r="M39" s="107">
        <f>((15-1.5)*8+2*12)-2</f>
        <v>130</v>
      </c>
      <c r="N39" s="108">
        <f>((21-1.5)*8)-2</f>
        <v>154</v>
      </c>
      <c r="O39" s="109">
        <f t="shared" si="17"/>
        <v>306</v>
      </c>
      <c r="P39" s="110">
        <f t="shared" si="17"/>
        <v>432.48</v>
      </c>
      <c r="Q39" s="110">
        <f t="shared" si="17"/>
        <v>530.4</v>
      </c>
      <c r="R39" s="111">
        <f t="shared" si="17"/>
        <v>628.32000000000005</v>
      </c>
      <c r="S39" s="112">
        <f t="shared" si="18"/>
        <v>6126.12</v>
      </c>
      <c r="T39" s="110">
        <f t="shared" si="18"/>
        <v>8658.249600000001</v>
      </c>
      <c r="U39" s="110">
        <f t="shared" si="18"/>
        <v>10618.608</v>
      </c>
      <c r="V39" s="111">
        <f t="shared" si="18"/>
        <v>12578.966400000001</v>
      </c>
      <c r="W39" s="113">
        <v>0.80500000000000005</v>
      </c>
      <c r="X39" s="114">
        <f t="shared" si="19"/>
        <v>246.33</v>
      </c>
      <c r="Y39" s="115">
        <f t="shared" si="19"/>
        <v>348.14640000000003</v>
      </c>
      <c r="Z39" s="115">
        <f t="shared" si="19"/>
        <v>426.97199999999998</v>
      </c>
      <c r="AA39" s="116">
        <f t="shared" si="19"/>
        <v>505.79760000000005</v>
      </c>
      <c r="AB39" s="117">
        <f t="shared" si="19"/>
        <v>4931.5266000000001</v>
      </c>
      <c r="AC39" s="118">
        <f t="shared" si="19"/>
        <v>6969.8909280000016</v>
      </c>
      <c r="AD39" s="118">
        <f t="shared" si="19"/>
        <v>8547.979440000001</v>
      </c>
      <c r="AE39" s="119">
        <f t="shared" si="19"/>
        <v>10126.067952000001</v>
      </c>
      <c r="AF39" s="81"/>
      <c r="AG39" s="120">
        <f t="shared" si="8"/>
        <v>0</v>
      </c>
      <c r="AH39" s="121">
        <f t="shared" si="9"/>
        <v>0</v>
      </c>
      <c r="AI39" s="122">
        <f>IF(AF39="",0,HLOOKUP(AF39,$AB$3:$AE$84,A39,FALSE))</f>
        <v>0</v>
      </c>
      <c r="AJ39" s="123">
        <v>0.9</v>
      </c>
      <c r="AL39" s="87"/>
      <c r="AM39" s="87"/>
      <c r="AN39" s="88"/>
      <c r="AY39" s="89"/>
      <c r="AZ39" s="90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2"/>
      <c r="BL39" s="88"/>
      <c r="BW39" s="89"/>
      <c r="BX39" s="96"/>
      <c r="BY39" s="97"/>
      <c r="BZ39" s="97"/>
      <c r="CA39" s="97"/>
      <c r="CB39" s="97"/>
      <c r="CC39" s="97"/>
      <c r="CD39" s="97"/>
      <c r="CE39" s="97"/>
      <c r="CF39" s="97"/>
      <c r="CG39" s="97"/>
      <c r="CH39" s="97"/>
      <c r="CI39" s="98"/>
      <c r="CJ39" s="96">
        <f t="shared" si="23"/>
        <v>0</v>
      </c>
      <c r="CK39" s="97">
        <f t="shared" si="23"/>
        <v>0</v>
      </c>
      <c r="CL39" s="97">
        <f t="shared" si="23"/>
        <v>0</v>
      </c>
      <c r="CM39" s="97">
        <f t="shared" si="23"/>
        <v>0</v>
      </c>
      <c r="CN39" s="97">
        <f t="shared" si="23"/>
        <v>0</v>
      </c>
      <c r="CO39" s="97">
        <f t="shared" si="23"/>
        <v>0</v>
      </c>
      <c r="CP39" s="97">
        <f t="shared" si="23"/>
        <v>0</v>
      </c>
      <c r="CQ39" s="97">
        <f t="shared" si="23"/>
        <v>0</v>
      </c>
      <c r="CR39" s="97">
        <f t="shared" si="23"/>
        <v>0</v>
      </c>
      <c r="CS39" s="97">
        <f t="shared" si="23"/>
        <v>0</v>
      </c>
      <c r="CT39" s="97">
        <f t="shared" si="23"/>
        <v>0</v>
      </c>
      <c r="CU39" s="98">
        <f t="shared" si="23"/>
        <v>0</v>
      </c>
      <c r="CV39" s="99">
        <f t="shared" si="24"/>
        <v>0</v>
      </c>
      <c r="CW39" s="99">
        <f t="shared" si="25"/>
        <v>0</v>
      </c>
    </row>
    <row r="40" spans="1:101" collapsed="1" x14ac:dyDescent="0.35">
      <c r="A40">
        <v>38</v>
      </c>
      <c r="B40" s="129" t="s">
        <v>116</v>
      </c>
      <c r="C40" s="130" t="s">
        <v>126</v>
      </c>
      <c r="D40" s="131"/>
      <c r="E40" s="132"/>
      <c r="F40" s="133"/>
      <c r="G40" s="134"/>
      <c r="H40" s="135"/>
      <c r="I40" s="136"/>
      <c r="J40" s="137"/>
      <c r="K40" s="138"/>
      <c r="L40" s="139"/>
      <c r="M40" s="139"/>
      <c r="N40" s="140"/>
      <c r="O40" s="141"/>
      <c r="P40" s="142"/>
      <c r="Q40" s="142"/>
      <c r="R40" s="143"/>
      <c r="S40" s="144"/>
      <c r="T40" s="142"/>
      <c r="U40" s="142"/>
      <c r="V40" s="143"/>
      <c r="W40" s="145"/>
      <c r="X40" s="144"/>
      <c r="Y40" s="142"/>
      <c r="Z40" s="142"/>
      <c r="AA40" s="143"/>
      <c r="AB40" s="146"/>
      <c r="AC40" s="147"/>
      <c r="AD40" s="147"/>
      <c r="AE40" s="148"/>
      <c r="AF40" s="81"/>
      <c r="AG40" s="149">
        <f t="shared" si="8"/>
        <v>0</v>
      </c>
      <c r="AH40" s="150">
        <f t="shared" si="9"/>
        <v>0</v>
      </c>
      <c r="AI40" s="151"/>
      <c r="AJ40" s="122"/>
      <c r="AL40" s="87"/>
      <c r="AM40" s="87"/>
      <c r="AN40" s="88"/>
      <c r="AY40" s="89"/>
      <c r="AZ40" s="90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2"/>
      <c r="BL40" s="88"/>
      <c r="BW40" s="89"/>
      <c r="BX40" s="96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8"/>
      <c r="CJ40" s="96">
        <f t="shared" ref="CJ40:CU61" si="40">$AJ40*BX40</f>
        <v>0</v>
      </c>
      <c r="CK40" s="97">
        <f t="shared" si="40"/>
        <v>0</v>
      </c>
      <c r="CL40" s="97">
        <f t="shared" si="40"/>
        <v>0</v>
      </c>
      <c r="CM40" s="97">
        <f t="shared" si="40"/>
        <v>0</v>
      </c>
      <c r="CN40" s="97">
        <f t="shared" si="40"/>
        <v>0</v>
      </c>
      <c r="CO40" s="97">
        <f t="shared" si="40"/>
        <v>0</v>
      </c>
      <c r="CP40" s="97">
        <f t="shared" si="40"/>
        <v>0</v>
      </c>
      <c r="CQ40" s="97">
        <f t="shared" si="40"/>
        <v>0</v>
      </c>
      <c r="CR40" s="97">
        <f t="shared" si="40"/>
        <v>0</v>
      </c>
      <c r="CS40" s="97">
        <f t="shared" si="40"/>
        <v>0</v>
      </c>
      <c r="CT40" s="97">
        <f t="shared" si="40"/>
        <v>0</v>
      </c>
      <c r="CU40" s="98">
        <f t="shared" si="40"/>
        <v>0</v>
      </c>
      <c r="CV40" s="99">
        <f t="shared" si="24"/>
        <v>0</v>
      </c>
      <c r="CW40" s="99">
        <f t="shared" si="25"/>
        <v>0</v>
      </c>
    </row>
    <row r="41" spans="1:101" x14ac:dyDescent="0.35">
      <c r="A41">
        <v>39</v>
      </c>
      <c r="B41" s="100" t="s">
        <v>127</v>
      </c>
      <c r="C41" s="101" t="s">
        <v>128</v>
      </c>
      <c r="D41" s="125">
        <v>5200</v>
      </c>
      <c r="E41" s="103"/>
      <c r="F41" s="104" t="s">
        <v>129</v>
      </c>
      <c r="G41" s="63">
        <v>0.26300000000000001</v>
      </c>
      <c r="H41" s="105" t="s">
        <v>85</v>
      </c>
      <c r="I41" s="65" t="s">
        <v>130</v>
      </c>
      <c r="J41" s="66" t="s">
        <v>131</v>
      </c>
      <c r="K41" s="106">
        <f t="shared" ref="K41:K65" si="41">(8*10)-5</f>
        <v>75</v>
      </c>
      <c r="L41" s="107">
        <f t="shared" ref="L41:L65" si="42">(15*8)-2</f>
        <v>118</v>
      </c>
      <c r="M41" s="107">
        <f t="shared" ref="M41:M65" si="43">(15*8+2*12)-2</f>
        <v>142</v>
      </c>
      <c r="N41" s="108">
        <f t="shared" ref="N41:N65" si="44">(15*8+4*12-8)-2</f>
        <v>158</v>
      </c>
      <c r="O41" s="109">
        <f t="shared" si="17"/>
        <v>390</v>
      </c>
      <c r="P41" s="110">
        <f t="shared" si="17"/>
        <v>613.6</v>
      </c>
      <c r="Q41" s="110">
        <f t="shared" si="17"/>
        <v>738.4</v>
      </c>
      <c r="R41" s="111">
        <f t="shared" si="17"/>
        <v>821.6</v>
      </c>
      <c r="S41" s="112">
        <f t="shared" si="18"/>
        <v>5333.64</v>
      </c>
      <c r="T41" s="110">
        <f t="shared" si="18"/>
        <v>8391.5936000000002</v>
      </c>
      <c r="U41" s="110">
        <f t="shared" si="18"/>
        <v>10098.358399999999</v>
      </c>
      <c r="V41" s="111">
        <f t="shared" si="18"/>
        <v>11236.2016</v>
      </c>
      <c r="W41" s="113">
        <v>0.6</v>
      </c>
      <c r="X41" s="114">
        <f t="shared" si="19"/>
        <v>234</v>
      </c>
      <c r="Y41" s="115">
        <f t="shared" si="19"/>
        <v>368.16</v>
      </c>
      <c r="Z41" s="115">
        <f t="shared" si="19"/>
        <v>443.03999999999996</v>
      </c>
      <c r="AA41" s="116">
        <f t="shared" si="19"/>
        <v>492.96</v>
      </c>
      <c r="AB41" s="117">
        <f t="shared" si="19"/>
        <v>3200.1840000000002</v>
      </c>
      <c r="AC41" s="118">
        <f t="shared" si="19"/>
        <v>5034.9561599999997</v>
      </c>
      <c r="AD41" s="118">
        <f t="shared" si="19"/>
        <v>6059.0150399999993</v>
      </c>
      <c r="AE41" s="119">
        <f t="shared" si="19"/>
        <v>6741.7209599999996</v>
      </c>
      <c r="AF41" s="81" t="s">
        <v>32</v>
      </c>
      <c r="AG41" s="120">
        <f t="shared" si="8"/>
        <v>19144.32</v>
      </c>
      <c r="AH41" s="121">
        <f t="shared" si="9"/>
        <v>1583.088</v>
      </c>
      <c r="AI41" s="122">
        <f t="shared" ref="AI41:AI55" si="45">IF(AF41="",0,HLOOKUP(AF41,$AB$3:$AE$84,A41,FALSE))</f>
        <v>5034.9561599999997</v>
      </c>
      <c r="AJ41" s="123">
        <v>0.8</v>
      </c>
      <c r="AK41" s="86">
        <f>SUM(AN41:AY41)</f>
        <v>16856.416004538336</v>
      </c>
      <c r="AL41" s="87">
        <f>AK41/AG41</f>
        <v>0.88049175967275606</v>
      </c>
      <c r="AM41" s="87">
        <f t="shared" si="20"/>
        <v>1.1006146995909449</v>
      </c>
      <c r="AN41" s="88">
        <v>1389.3140523150969</v>
      </c>
      <c r="AO41">
        <v>1245.0246950148521</v>
      </c>
      <c r="AP41">
        <v>1480.8356975026309</v>
      </c>
      <c r="AQ41">
        <v>1513.0901888034009</v>
      </c>
      <c r="AR41">
        <v>1365.2482997920461</v>
      </c>
      <c r="AS41">
        <v>1827.2670062500811</v>
      </c>
      <c r="AT41">
        <v>1192.5713882115999</v>
      </c>
      <c r="AU41">
        <v>1303.1454683615202</v>
      </c>
      <c r="AV41">
        <v>1585.1904448892853</v>
      </c>
      <c r="AW41">
        <v>1353.992233537205</v>
      </c>
      <c r="AX41">
        <v>1361.2066764984731</v>
      </c>
      <c r="AY41" s="89">
        <v>1239.5298533621442</v>
      </c>
      <c r="AZ41" s="90">
        <f t="shared" ref="AZ41:BK41" si="46">AZ$1*HLOOKUP($AF41,$X$3:$AA$84,$A41,FALSE)</f>
        <v>1840.8000000000002</v>
      </c>
      <c r="BA41" s="91">
        <f t="shared" si="46"/>
        <v>1472.64</v>
      </c>
      <c r="BB41" s="91">
        <f t="shared" si="46"/>
        <v>1472.64</v>
      </c>
      <c r="BC41" s="91">
        <f t="shared" si="46"/>
        <v>1840.8000000000002</v>
      </c>
      <c r="BD41" s="91">
        <f t="shared" si="46"/>
        <v>1472.64</v>
      </c>
      <c r="BE41" s="91">
        <f t="shared" si="46"/>
        <v>1472.64</v>
      </c>
      <c r="BF41" s="91">
        <f t="shared" si="46"/>
        <v>1840.8000000000002</v>
      </c>
      <c r="BG41" s="91">
        <f t="shared" si="46"/>
        <v>1472.64</v>
      </c>
      <c r="BH41" s="91">
        <f t="shared" si="46"/>
        <v>1472.64</v>
      </c>
      <c r="BI41" s="91">
        <f t="shared" si="46"/>
        <v>1840.8000000000002</v>
      </c>
      <c r="BJ41" s="91">
        <f t="shared" si="46"/>
        <v>1472.64</v>
      </c>
      <c r="BK41" s="92">
        <f t="shared" si="46"/>
        <v>1472.64</v>
      </c>
      <c r="BL41" s="93">
        <f t="shared" ref="BL41:BW41" si="47">AN41/AZ41</f>
        <v>0.75473383980611519</v>
      </c>
      <c r="BM41" s="94">
        <f t="shared" si="47"/>
        <v>0.84543723857483977</v>
      </c>
      <c r="BN41" s="94">
        <f t="shared" si="47"/>
        <v>1.0055653095818604</v>
      </c>
      <c r="BO41" s="94">
        <f t="shared" si="47"/>
        <v>0.82197424424348153</v>
      </c>
      <c r="BP41" s="94">
        <f t="shared" si="47"/>
        <v>0.92707538827686742</v>
      </c>
      <c r="BQ41" s="94">
        <f t="shared" si="47"/>
        <v>1.2408103856000658</v>
      </c>
      <c r="BR41" s="94">
        <f t="shared" si="47"/>
        <v>0.64785494796371135</v>
      </c>
      <c r="BS41" s="94">
        <f t="shared" si="47"/>
        <v>0.88490430000646469</v>
      </c>
      <c r="BT41" s="94">
        <f t="shared" si="47"/>
        <v>1.0764276706386389</v>
      </c>
      <c r="BU41" s="94">
        <f t="shared" si="47"/>
        <v>0.73554554190417476</v>
      </c>
      <c r="BV41" s="94">
        <f t="shared" si="47"/>
        <v>0.92433091352840679</v>
      </c>
      <c r="BW41" s="95">
        <f t="shared" si="47"/>
        <v>0.84170595214182975</v>
      </c>
      <c r="BX41" s="96">
        <f t="shared" si="22"/>
        <v>451.48594768490329</v>
      </c>
      <c r="BY41" s="97">
        <f t="shared" si="22"/>
        <v>227.61530498514799</v>
      </c>
      <c r="BZ41" s="97">
        <f t="shared" si="22"/>
        <v>-8.1956975026307646</v>
      </c>
      <c r="CA41" s="97">
        <f t="shared" si="22"/>
        <v>327.70981119659928</v>
      </c>
      <c r="CB41" s="97">
        <f t="shared" si="22"/>
        <v>107.39170020795405</v>
      </c>
      <c r="CC41" s="97">
        <f t="shared" si="22"/>
        <v>-354.62700625008097</v>
      </c>
      <c r="CD41" s="97">
        <f t="shared" si="22"/>
        <v>648.22861178840026</v>
      </c>
      <c r="CE41" s="97">
        <f t="shared" si="22"/>
        <v>169.49453163847988</v>
      </c>
      <c r="CF41" s="97">
        <f t="shared" si="22"/>
        <v>-112.55044488928525</v>
      </c>
      <c r="CG41" s="97">
        <f t="shared" si="22"/>
        <v>486.80776646279514</v>
      </c>
      <c r="CH41" s="97">
        <f t="shared" si="22"/>
        <v>111.43332350152696</v>
      </c>
      <c r="CI41" s="98">
        <f t="shared" si="22"/>
        <v>233.11014663785591</v>
      </c>
      <c r="CJ41" s="96">
        <f t="shared" si="40"/>
        <v>361.18875814792267</v>
      </c>
      <c r="CK41" s="97">
        <f t="shared" si="40"/>
        <v>182.09224398811841</v>
      </c>
      <c r="CL41" s="97">
        <f t="shared" si="40"/>
        <v>-6.5565580021046124</v>
      </c>
      <c r="CM41" s="97">
        <f t="shared" si="40"/>
        <v>262.16784895727943</v>
      </c>
      <c r="CN41" s="97">
        <f t="shared" si="40"/>
        <v>85.913360166363248</v>
      </c>
      <c r="CO41" s="97">
        <f t="shared" si="40"/>
        <v>-283.70160500006477</v>
      </c>
      <c r="CP41" s="97">
        <f t="shared" si="40"/>
        <v>518.58288943072023</v>
      </c>
      <c r="CQ41" s="97">
        <f t="shared" si="40"/>
        <v>135.5956253107839</v>
      </c>
      <c r="CR41" s="97">
        <f t="shared" si="40"/>
        <v>-90.040355911428207</v>
      </c>
      <c r="CS41" s="97">
        <f t="shared" si="40"/>
        <v>389.44621317023615</v>
      </c>
      <c r="CT41" s="97">
        <f t="shared" si="40"/>
        <v>89.146658801221577</v>
      </c>
      <c r="CU41" s="98">
        <f t="shared" si="40"/>
        <v>186.48811731028474</v>
      </c>
      <c r="CV41" s="99">
        <f t="shared" si="24"/>
        <v>15315.456</v>
      </c>
      <c r="CW41" s="99">
        <f t="shared" si="25"/>
        <v>4027.9649279999999</v>
      </c>
    </row>
    <row r="42" spans="1:101" hidden="1" outlineLevel="1" x14ac:dyDescent="0.35">
      <c r="A42">
        <v>40</v>
      </c>
      <c r="B42" s="100" t="s">
        <v>127</v>
      </c>
      <c r="C42" s="101" t="s">
        <v>128</v>
      </c>
      <c r="D42" s="102">
        <v>5040</v>
      </c>
      <c r="E42" s="103" t="s">
        <v>132</v>
      </c>
      <c r="F42" s="104" t="s">
        <v>133</v>
      </c>
      <c r="G42" s="63">
        <v>0.26</v>
      </c>
      <c r="H42" s="64" t="s">
        <v>55</v>
      </c>
      <c r="I42" s="65" t="s">
        <v>130</v>
      </c>
      <c r="J42" s="66" t="s">
        <v>134</v>
      </c>
      <c r="K42" s="106">
        <f t="shared" si="41"/>
        <v>75</v>
      </c>
      <c r="L42" s="107">
        <f t="shared" si="42"/>
        <v>118</v>
      </c>
      <c r="M42" s="107">
        <f t="shared" si="43"/>
        <v>142</v>
      </c>
      <c r="N42" s="108">
        <f t="shared" si="44"/>
        <v>158</v>
      </c>
      <c r="O42" s="109">
        <f t="shared" si="17"/>
        <v>378</v>
      </c>
      <c r="P42" s="110">
        <f t="shared" si="17"/>
        <v>594.72</v>
      </c>
      <c r="Q42" s="110">
        <f t="shared" si="17"/>
        <v>715.68</v>
      </c>
      <c r="R42" s="111">
        <f t="shared" si="17"/>
        <v>796.32</v>
      </c>
      <c r="S42" s="112">
        <f t="shared" si="18"/>
        <v>5110.5600000000004</v>
      </c>
      <c r="T42" s="110">
        <f t="shared" si="18"/>
        <v>8040.6144000000004</v>
      </c>
      <c r="U42" s="110">
        <f t="shared" si="18"/>
        <v>9675.9935999999998</v>
      </c>
      <c r="V42" s="111">
        <f t="shared" si="18"/>
        <v>10766.2464</v>
      </c>
      <c r="W42" s="113">
        <v>0.6</v>
      </c>
      <c r="X42" s="114">
        <f t="shared" si="19"/>
        <v>226.79999999999998</v>
      </c>
      <c r="Y42" s="115">
        <f t="shared" si="19"/>
        <v>356.83199999999999</v>
      </c>
      <c r="Z42" s="115">
        <f t="shared" si="19"/>
        <v>429.40799999999996</v>
      </c>
      <c r="AA42" s="116">
        <f t="shared" si="19"/>
        <v>477.79200000000003</v>
      </c>
      <c r="AB42" s="117">
        <f t="shared" si="19"/>
        <v>3066.3360000000002</v>
      </c>
      <c r="AC42" s="118">
        <f t="shared" si="19"/>
        <v>4824.3686399999997</v>
      </c>
      <c r="AD42" s="118">
        <f t="shared" si="19"/>
        <v>5805.5961600000001</v>
      </c>
      <c r="AE42" s="119">
        <f t="shared" si="19"/>
        <v>6459.74784</v>
      </c>
      <c r="AF42" s="81"/>
      <c r="AG42" s="120">
        <f t="shared" si="8"/>
        <v>0</v>
      </c>
      <c r="AH42" s="121">
        <f t="shared" si="9"/>
        <v>0</v>
      </c>
      <c r="AI42" s="122">
        <f t="shared" si="45"/>
        <v>0</v>
      </c>
      <c r="AJ42" s="123">
        <v>0.75</v>
      </c>
      <c r="AL42" s="87"/>
      <c r="AM42" s="87"/>
      <c r="AN42" s="88"/>
      <c r="AY42" s="89"/>
      <c r="AZ42" s="90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2"/>
      <c r="BL42" s="88"/>
      <c r="BW42" s="89"/>
      <c r="BX42" s="96"/>
      <c r="BY42" s="97"/>
      <c r="BZ42" s="97"/>
      <c r="CA42" s="97"/>
      <c r="CB42" s="97"/>
      <c r="CC42" s="97"/>
      <c r="CD42" s="97"/>
      <c r="CE42" s="97"/>
      <c r="CF42" s="97"/>
      <c r="CG42" s="97"/>
      <c r="CH42" s="97"/>
      <c r="CI42" s="98"/>
      <c r="CJ42" s="96">
        <f t="shared" si="40"/>
        <v>0</v>
      </c>
      <c r="CK42" s="97">
        <f t="shared" si="40"/>
        <v>0</v>
      </c>
      <c r="CL42" s="97">
        <f t="shared" si="40"/>
        <v>0</v>
      </c>
      <c r="CM42" s="97">
        <f t="shared" si="40"/>
        <v>0</v>
      </c>
      <c r="CN42" s="97">
        <f t="shared" si="40"/>
        <v>0</v>
      </c>
      <c r="CO42" s="97">
        <f t="shared" si="40"/>
        <v>0</v>
      </c>
      <c r="CP42" s="97">
        <f t="shared" si="40"/>
        <v>0</v>
      </c>
      <c r="CQ42" s="97">
        <f t="shared" si="40"/>
        <v>0</v>
      </c>
      <c r="CR42" s="97">
        <f t="shared" si="40"/>
        <v>0</v>
      </c>
      <c r="CS42" s="97">
        <f t="shared" si="40"/>
        <v>0</v>
      </c>
      <c r="CT42" s="97">
        <f t="shared" si="40"/>
        <v>0</v>
      </c>
      <c r="CU42" s="98">
        <f t="shared" si="40"/>
        <v>0</v>
      </c>
      <c r="CV42" s="99">
        <f t="shared" si="24"/>
        <v>0</v>
      </c>
      <c r="CW42" s="99">
        <f t="shared" si="25"/>
        <v>0</v>
      </c>
    </row>
    <row r="43" spans="1:101" hidden="1" outlineLevel="1" x14ac:dyDescent="0.35">
      <c r="A43">
        <v>41</v>
      </c>
      <c r="B43" s="100" t="s">
        <v>127</v>
      </c>
      <c r="C43" s="101" t="s">
        <v>128</v>
      </c>
      <c r="D43" s="102">
        <v>4200</v>
      </c>
      <c r="E43" s="103" t="s">
        <v>135</v>
      </c>
      <c r="F43" s="104" t="s">
        <v>136</v>
      </c>
      <c r="G43" s="63">
        <v>0.28000000000000003</v>
      </c>
      <c r="H43" s="105" t="s">
        <v>68</v>
      </c>
      <c r="I43" s="65" t="s">
        <v>130</v>
      </c>
      <c r="J43" s="66" t="s">
        <v>137</v>
      </c>
      <c r="K43" s="106">
        <f t="shared" si="41"/>
        <v>75</v>
      </c>
      <c r="L43" s="107">
        <f t="shared" si="42"/>
        <v>118</v>
      </c>
      <c r="M43" s="107">
        <f t="shared" si="43"/>
        <v>142</v>
      </c>
      <c r="N43" s="108">
        <f t="shared" si="44"/>
        <v>158</v>
      </c>
      <c r="O43" s="109">
        <f t="shared" si="17"/>
        <v>315</v>
      </c>
      <c r="P43" s="110">
        <f t="shared" si="17"/>
        <v>495.6</v>
      </c>
      <c r="Q43" s="110">
        <f t="shared" si="17"/>
        <v>596.4</v>
      </c>
      <c r="R43" s="111">
        <f t="shared" si="17"/>
        <v>663.6</v>
      </c>
      <c r="S43" s="112">
        <f t="shared" si="18"/>
        <v>4586.4000000000005</v>
      </c>
      <c r="T43" s="110">
        <f t="shared" si="18"/>
        <v>7215.9360000000015</v>
      </c>
      <c r="U43" s="110">
        <f t="shared" si="18"/>
        <v>8683.5840000000007</v>
      </c>
      <c r="V43" s="111">
        <f t="shared" si="18"/>
        <v>9662.0160000000014</v>
      </c>
      <c r="W43" s="113">
        <v>0.6</v>
      </c>
      <c r="X43" s="114">
        <f t="shared" si="19"/>
        <v>189</v>
      </c>
      <c r="Y43" s="115">
        <f t="shared" si="19"/>
        <v>297.36</v>
      </c>
      <c r="Z43" s="115">
        <f t="shared" si="19"/>
        <v>357.84</v>
      </c>
      <c r="AA43" s="116">
        <f t="shared" si="19"/>
        <v>398.16</v>
      </c>
      <c r="AB43" s="117">
        <f t="shared" si="19"/>
        <v>2751.84</v>
      </c>
      <c r="AC43" s="118">
        <f t="shared" si="19"/>
        <v>4329.5616000000009</v>
      </c>
      <c r="AD43" s="118">
        <f t="shared" si="19"/>
        <v>5210.1504000000004</v>
      </c>
      <c r="AE43" s="119">
        <f t="shared" si="19"/>
        <v>5797.209600000001</v>
      </c>
      <c r="AF43" s="81"/>
      <c r="AG43" s="120">
        <f t="shared" si="8"/>
        <v>0</v>
      </c>
      <c r="AH43" s="121">
        <f t="shared" si="9"/>
        <v>0</v>
      </c>
      <c r="AI43" s="122">
        <f t="shared" si="45"/>
        <v>0</v>
      </c>
      <c r="AJ43" s="123">
        <v>0.75</v>
      </c>
      <c r="AL43" s="87"/>
      <c r="AM43" s="87"/>
      <c r="AN43" s="88"/>
      <c r="AY43" s="89"/>
      <c r="AZ43" s="90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2"/>
      <c r="BL43" s="88"/>
      <c r="BW43" s="89"/>
      <c r="BX43" s="96"/>
      <c r="BY43" s="97"/>
      <c r="BZ43" s="97"/>
      <c r="CA43" s="97"/>
      <c r="CB43" s="97"/>
      <c r="CC43" s="97"/>
      <c r="CD43" s="97"/>
      <c r="CE43" s="97"/>
      <c r="CF43" s="97"/>
      <c r="CG43" s="97"/>
      <c r="CH43" s="97"/>
      <c r="CI43" s="98"/>
      <c r="CJ43" s="96">
        <f t="shared" si="40"/>
        <v>0</v>
      </c>
      <c r="CK43" s="97">
        <f t="shared" si="40"/>
        <v>0</v>
      </c>
      <c r="CL43" s="97">
        <f t="shared" si="40"/>
        <v>0</v>
      </c>
      <c r="CM43" s="97">
        <f t="shared" si="40"/>
        <v>0</v>
      </c>
      <c r="CN43" s="97">
        <f t="shared" si="40"/>
        <v>0</v>
      </c>
      <c r="CO43" s="97">
        <f t="shared" si="40"/>
        <v>0</v>
      </c>
      <c r="CP43" s="97">
        <f t="shared" si="40"/>
        <v>0</v>
      </c>
      <c r="CQ43" s="97">
        <f t="shared" si="40"/>
        <v>0</v>
      </c>
      <c r="CR43" s="97">
        <f t="shared" si="40"/>
        <v>0</v>
      </c>
      <c r="CS43" s="97">
        <f t="shared" si="40"/>
        <v>0</v>
      </c>
      <c r="CT43" s="97">
        <f t="shared" si="40"/>
        <v>0</v>
      </c>
      <c r="CU43" s="98">
        <f t="shared" si="40"/>
        <v>0</v>
      </c>
      <c r="CV43" s="99">
        <f t="shared" si="24"/>
        <v>0</v>
      </c>
      <c r="CW43" s="99">
        <f t="shared" si="25"/>
        <v>0</v>
      </c>
    </row>
    <row r="44" spans="1:101" hidden="1" outlineLevel="1" x14ac:dyDescent="0.35">
      <c r="A44">
        <v>42</v>
      </c>
      <c r="B44" s="100" t="s">
        <v>127</v>
      </c>
      <c r="C44" s="101" t="s">
        <v>128</v>
      </c>
      <c r="D44" s="102">
        <v>5400</v>
      </c>
      <c r="E44" s="103" t="s">
        <v>138</v>
      </c>
      <c r="F44" s="104" t="s">
        <v>139</v>
      </c>
      <c r="G44" s="63">
        <v>0.26750000000000002</v>
      </c>
      <c r="H44" s="105" t="s">
        <v>61</v>
      </c>
      <c r="I44" s="65" t="s">
        <v>130</v>
      </c>
      <c r="J44" s="66" t="s">
        <v>137</v>
      </c>
      <c r="K44" s="106">
        <f t="shared" si="41"/>
        <v>75</v>
      </c>
      <c r="L44" s="107">
        <f t="shared" si="42"/>
        <v>118</v>
      </c>
      <c r="M44" s="107">
        <f t="shared" si="43"/>
        <v>142</v>
      </c>
      <c r="N44" s="108">
        <f t="shared" si="44"/>
        <v>158</v>
      </c>
      <c r="O44" s="109">
        <f t="shared" si="17"/>
        <v>405</v>
      </c>
      <c r="P44" s="110">
        <f t="shared" si="17"/>
        <v>637.20000000000005</v>
      </c>
      <c r="Q44" s="110">
        <f t="shared" si="17"/>
        <v>766.8</v>
      </c>
      <c r="R44" s="111">
        <f t="shared" si="17"/>
        <v>853.2</v>
      </c>
      <c r="S44" s="112">
        <f t="shared" si="18"/>
        <v>5633.55</v>
      </c>
      <c r="T44" s="110">
        <f t="shared" si="18"/>
        <v>8863.4520000000011</v>
      </c>
      <c r="U44" s="110">
        <f t="shared" si="18"/>
        <v>10666.188</v>
      </c>
      <c r="V44" s="111">
        <f t="shared" si="18"/>
        <v>11868.012000000001</v>
      </c>
      <c r="W44" s="113">
        <v>0.6</v>
      </c>
      <c r="X44" s="114">
        <f t="shared" si="19"/>
        <v>243</v>
      </c>
      <c r="Y44" s="115">
        <f t="shared" si="19"/>
        <v>382.32</v>
      </c>
      <c r="Z44" s="115">
        <f t="shared" si="19"/>
        <v>460.08</v>
      </c>
      <c r="AA44" s="116">
        <f t="shared" si="19"/>
        <v>511.92</v>
      </c>
      <c r="AB44" s="117">
        <f t="shared" si="19"/>
        <v>3380.13</v>
      </c>
      <c r="AC44" s="118">
        <f t="shared" si="19"/>
        <v>5318.0712000000003</v>
      </c>
      <c r="AD44" s="118">
        <f t="shared" si="19"/>
        <v>6399.7128000000002</v>
      </c>
      <c r="AE44" s="119">
        <f t="shared" si="19"/>
        <v>7120.8072000000002</v>
      </c>
      <c r="AF44" s="81"/>
      <c r="AG44" s="120">
        <f>IF(AF44="",0,HLOOKUP(AF44,$X$3:$AA$84,A44,FALSE))*52</f>
        <v>0</v>
      </c>
      <c r="AH44" s="121">
        <f>IF(AF44="",0,HLOOKUP(AF44,$X$3:$AA$84,A44,FALSE))*4.3</f>
        <v>0</v>
      </c>
      <c r="AI44" s="122">
        <f t="shared" si="45"/>
        <v>0</v>
      </c>
      <c r="AJ44" s="123">
        <v>0.75</v>
      </c>
      <c r="AL44" s="87"/>
      <c r="AM44" s="87"/>
      <c r="AN44" s="88"/>
      <c r="AY44" s="89"/>
      <c r="AZ44" s="90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2"/>
      <c r="BL44" s="88"/>
      <c r="BW44" s="89"/>
      <c r="BX44" s="96"/>
      <c r="BY44" s="97"/>
      <c r="BZ44" s="97"/>
      <c r="CA44" s="97"/>
      <c r="CB44" s="97"/>
      <c r="CC44" s="97"/>
      <c r="CD44" s="97"/>
      <c r="CE44" s="97"/>
      <c r="CF44" s="97"/>
      <c r="CG44" s="97"/>
      <c r="CH44" s="97"/>
      <c r="CI44" s="98"/>
      <c r="CJ44" s="96">
        <f t="shared" si="40"/>
        <v>0</v>
      </c>
      <c r="CK44" s="97">
        <f t="shared" si="40"/>
        <v>0</v>
      </c>
      <c r="CL44" s="97">
        <f t="shared" si="40"/>
        <v>0</v>
      </c>
      <c r="CM44" s="97">
        <f t="shared" si="40"/>
        <v>0</v>
      </c>
      <c r="CN44" s="97">
        <f t="shared" si="40"/>
        <v>0</v>
      </c>
      <c r="CO44" s="97">
        <f t="shared" si="40"/>
        <v>0</v>
      </c>
      <c r="CP44" s="97">
        <f t="shared" si="40"/>
        <v>0</v>
      </c>
      <c r="CQ44" s="97">
        <f t="shared" si="40"/>
        <v>0</v>
      </c>
      <c r="CR44" s="97">
        <f t="shared" si="40"/>
        <v>0</v>
      </c>
      <c r="CS44" s="97">
        <f t="shared" si="40"/>
        <v>0</v>
      </c>
      <c r="CT44" s="97">
        <f t="shared" si="40"/>
        <v>0</v>
      </c>
      <c r="CU44" s="98">
        <f t="shared" si="40"/>
        <v>0</v>
      </c>
      <c r="CV44" s="99">
        <f t="shared" si="24"/>
        <v>0</v>
      </c>
      <c r="CW44" s="99">
        <f t="shared" si="25"/>
        <v>0</v>
      </c>
    </row>
    <row r="45" spans="1:101" collapsed="1" x14ac:dyDescent="0.35">
      <c r="A45">
        <v>43</v>
      </c>
      <c r="B45" s="100" t="s">
        <v>127</v>
      </c>
      <c r="C45" s="101" t="s">
        <v>140</v>
      </c>
      <c r="D45" s="125">
        <v>4680</v>
      </c>
      <c r="E45" s="103"/>
      <c r="F45" s="104" t="s">
        <v>141</v>
      </c>
      <c r="G45" s="63">
        <f>0.54</f>
        <v>0.54</v>
      </c>
      <c r="H45" s="105" t="s">
        <v>85</v>
      </c>
      <c r="I45" s="65" t="s">
        <v>142</v>
      </c>
      <c r="J45" s="66" t="s">
        <v>143</v>
      </c>
      <c r="K45" s="106">
        <f t="shared" si="41"/>
        <v>75</v>
      </c>
      <c r="L45" s="107">
        <f t="shared" si="42"/>
        <v>118</v>
      </c>
      <c r="M45" s="107">
        <f t="shared" si="43"/>
        <v>142</v>
      </c>
      <c r="N45" s="108">
        <f t="shared" si="44"/>
        <v>158</v>
      </c>
      <c r="O45" s="109">
        <f t="shared" si="17"/>
        <v>351</v>
      </c>
      <c r="P45" s="110">
        <f t="shared" si="17"/>
        <v>552.24</v>
      </c>
      <c r="Q45" s="110">
        <f t="shared" si="17"/>
        <v>664.56</v>
      </c>
      <c r="R45" s="111">
        <f t="shared" si="17"/>
        <v>739.44</v>
      </c>
      <c r="S45" s="112">
        <f t="shared" si="18"/>
        <v>9856.0800000000017</v>
      </c>
      <c r="T45" s="110">
        <f t="shared" si="18"/>
        <v>15506.899200000002</v>
      </c>
      <c r="U45" s="110">
        <f t="shared" si="18"/>
        <v>18660.844799999999</v>
      </c>
      <c r="V45" s="111">
        <f t="shared" si="18"/>
        <v>20763.475200000001</v>
      </c>
      <c r="W45" s="113">
        <v>0.64</v>
      </c>
      <c r="X45" s="114">
        <f t="shared" si="19"/>
        <v>224.64000000000001</v>
      </c>
      <c r="Y45" s="115">
        <f t="shared" si="19"/>
        <v>353.43360000000001</v>
      </c>
      <c r="Z45" s="115">
        <f t="shared" si="19"/>
        <v>425.3184</v>
      </c>
      <c r="AA45" s="116">
        <f t="shared" si="19"/>
        <v>473.24160000000006</v>
      </c>
      <c r="AB45" s="117">
        <f t="shared" si="19"/>
        <v>6307.8912000000009</v>
      </c>
      <c r="AC45" s="118">
        <f t="shared" si="19"/>
        <v>9924.4154880000006</v>
      </c>
      <c r="AD45" s="118">
        <f t="shared" si="19"/>
        <v>11942.940671999999</v>
      </c>
      <c r="AE45" s="119">
        <f t="shared" si="19"/>
        <v>13288.624128000001</v>
      </c>
      <c r="AF45" s="81" t="s">
        <v>32</v>
      </c>
      <c r="AG45" s="120">
        <f>IF(AF45="",0,HLOOKUP(AF45,$X$3:$AA$84,A45,FALSE))*52</f>
        <v>18378.547200000001</v>
      </c>
      <c r="AH45" s="121">
        <f>IF(AF45="",0,HLOOKUP(AF45,$X$3:$AA$84,A45,FALSE))*4.3</f>
        <v>1519.76448</v>
      </c>
      <c r="AI45" s="122">
        <f t="shared" si="45"/>
        <v>9924.4154880000006</v>
      </c>
      <c r="AJ45" s="123">
        <v>0.9</v>
      </c>
      <c r="AK45" s="86">
        <f>SUM(AN45:AY45)</f>
        <v>14910.614499935427</v>
      </c>
      <c r="AL45" s="87">
        <f>AK45/AG45</f>
        <v>0.81130539523469114</v>
      </c>
      <c r="AM45" s="87">
        <f t="shared" si="20"/>
        <v>0.90145043914965683</v>
      </c>
      <c r="AN45" s="88">
        <v>1102.38939420163</v>
      </c>
      <c r="AO45">
        <v>969.40241820543838</v>
      </c>
      <c r="AP45">
        <v>1119.112990770607</v>
      </c>
      <c r="AQ45">
        <v>1265.9839296060682</v>
      </c>
      <c r="AR45">
        <v>1408.0301175524303</v>
      </c>
      <c r="AS45">
        <v>1311.596413856679</v>
      </c>
      <c r="AT45">
        <v>1291.7959159366783</v>
      </c>
      <c r="AU45">
        <v>1231.9224740731095</v>
      </c>
      <c r="AV45">
        <v>1335.3865908763794</v>
      </c>
      <c r="AW45">
        <v>1257.2503823068796</v>
      </c>
      <c r="AX45">
        <v>1348.6161544836839</v>
      </c>
      <c r="AY45" s="89">
        <v>1269.1277180658431</v>
      </c>
      <c r="AZ45" s="90">
        <f t="shared" ref="AZ45:BK45" si="48">AZ$1*HLOOKUP($AF45,$X$3:$AA$84,$A45,FALSE)</f>
        <v>1767.1680000000001</v>
      </c>
      <c r="BA45" s="91">
        <f t="shared" si="48"/>
        <v>1413.7344000000001</v>
      </c>
      <c r="BB45" s="91">
        <f t="shared" si="48"/>
        <v>1413.7344000000001</v>
      </c>
      <c r="BC45" s="91">
        <f t="shared" si="48"/>
        <v>1767.1680000000001</v>
      </c>
      <c r="BD45" s="91">
        <f t="shared" si="48"/>
        <v>1413.7344000000001</v>
      </c>
      <c r="BE45" s="91">
        <f t="shared" si="48"/>
        <v>1413.7344000000001</v>
      </c>
      <c r="BF45" s="91">
        <f t="shared" si="48"/>
        <v>1767.1680000000001</v>
      </c>
      <c r="BG45" s="91">
        <f t="shared" si="48"/>
        <v>1413.7344000000001</v>
      </c>
      <c r="BH45" s="91">
        <f t="shared" si="48"/>
        <v>1413.7344000000001</v>
      </c>
      <c r="BI45" s="91">
        <f t="shared" si="48"/>
        <v>1767.1680000000001</v>
      </c>
      <c r="BJ45" s="91">
        <f t="shared" si="48"/>
        <v>1413.7344000000001</v>
      </c>
      <c r="BK45" s="92">
        <f t="shared" si="48"/>
        <v>1413.7344000000001</v>
      </c>
      <c r="BL45" s="93">
        <f t="shared" ref="BL45:BW45" si="49">AN45/AZ45</f>
        <v>0.62381697393888413</v>
      </c>
      <c r="BM45" s="94">
        <f t="shared" si="49"/>
        <v>0.68570335291087092</v>
      </c>
      <c r="BN45" s="94">
        <f t="shared" si="49"/>
        <v>0.79160059398045834</v>
      </c>
      <c r="BO45" s="94">
        <f t="shared" si="49"/>
        <v>0.71639138418422477</v>
      </c>
      <c r="BP45" s="94">
        <f t="shared" si="49"/>
        <v>0.99596509609756279</v>
      </c>
      <c r="BQ45" s="94">
        <f t="shared" si="49"/>
        <v>0.92775305874758296</v>
      </c>
      <c r="BR45" s="94">
        <f t="shared" si="49"/>
        <v>0.73099779757028094</v>
      </c>
      <c r="BS45" s="94">
        <f t="shared" si="49"/>
        <v>0.87139598079604585</v>
      </c>
      <c r="BT45" s="94">
        <f t="shared" si="49"/>
        <v>0.94458095585449386</v>
      </c>
      <c r="BU45" s="94">
        <f t="shared" si="49"/>
        <v>0.71144926928672292</v>
      </c>
      <c r="BV45" s="94">
        <f t="shared" si="49"/>
        <v>0.95393884062217338</v>
      </c>
      <c r="BW45" s="95">
        <f t="shared" si="49"/>
        <v>0.89771297781665571</v>
      </c>
      <c r="BX45" s="96">
        <f t="shared" si="22"/>
        <v>664.77860579837011</v>
      </c>
      <c r="BY45" s="97">
        <f t="shared" si="22"/>
        <v>444.33198179456167</v>
      </c>
      <c r="BZ45" s="97">
        <f t="shared" si="22"/>
        <v>294.62140922939307</v>
      </c>
      <c r="CA45" s="97">
        <f t="shared" si="22"/>
        <v>501.18407039393196</v>
      </c>
      <c r="CB45" s="97">
        <f t="shared" si="22"/>
        <v>5.7042824475697671</v>
      </c>
      <c r="CC45" s="97">
        <f t="shared" si="22"/>
        <v>102.13798614332109</v>
      </c>
      <c r="CD45" s="97">
        <f t="shared" si="22"/>
        <v>475.37208406332184</v>
      </c>
      <c r="CE45" s="97">
        <f t="shared" si="22"/>
        <v>181.81192592689058</v>
      </c>
      <c r="CF45" s="97">
        <f t="shared" si="22"/>
        <v>78.347809123620664</v>
      </c>
      <c r="CG45" s="97">
        <f t="shared" si="22"/>
        <v>509.91761769312052</v>
      </c>
      <c r="CH45" s="97">
        <f t="shared" si="22"/>
        <v>65.118245516316165</v>
      </c>
      <c r="CI45" s="98">
        <f t="shared" si="22"/>
        <v>144.606681934157</v>
      </c>
      <c r="CJ45" s="96">
        <f t="shared" si="40"/>
        <v>598.30074521853317</v>
      </c>
      <c r="CK45" s="97">
        <f t="shared" si="40"/>
        <v>399.89878361510551</v>
      </c>
      <c r="CL45" s="97">
        <f t="shared" si="40"/>
        <v>265.15926830645378</v>
      </c>
      <c r="CM45" s="97">
        <f t="shared" si="40"/>
        <v>451.0656633545388</v>
      </c>
      <c r="CN45" s="97">
        <f t="shared" si="40"/>
        <v>5.1338542028127909</v>
      </c>
      <c r="CO45" s="97">
        <f t="shared" si="40"/>
        <v>91.92418752898898</v>
      </c>
      <c r="CP45" s="97">
        <f t="shared" si="40"/>
        <v>427.83487565698965</v>
      </c>
      <c r="CQ45" s="97">
        <f t="shared" si="40"/>
        <v>163.63073333420152</v>
      </c>
      <c r="CR45" s="97">
        <f t="shared" si="40"/>
        <v>70.5130282112586</v>
      </c>
      <c r="CS45" s="97">
        <f t="shared" si="40"/>
        <v>458.92585592380846</v>
      </c>
      <c r="CT45" s="97">
        <f t="shared" si="40"/>
        <v>58.606420964684553</v>
      </c>
      <c r="CU45" s="98">
        <f t="shared" si="40"/>
        <v>130.1460137407413</v>
      </c>
      <c r="CV45" s="99">
        <f t="shared" si="24"/>
        <v>16540.692480000002</v>
      </c>
      <c r="CW45" s="99">
        <f t="shared" si="25"/>
        <v>8931.973939200001</v>
      </c>
    </row>
    <row r="46" spans="1:101" hidden="1" outlineLevel="1" x14ac:dyDescent="0.35">
      <c r="A46">
        <v>44</v>
      </c>
      <c r="B46" s="100" t="s">
        <v>127</v>
      </c>
      <c r="C46" s="101" t="s">
        <v>140</v>
      </c>
      <c r="D46" s="102">
        <v>4200</v>
      </c>
      <c r="E46" s="103" t="s">
        <v>144</v>
      </c>
      <c r="F46" s="104" t="s">
        <v>145</v>
      </c>
      <c r="G46" s="63">
        <v>0.4</v>
      </c>
      <c r="H46" s="105" t="s">
        <v>68</v>
      </c>
      <c r="I46" s="65" t="s">
        <v>86</v>
      </c>
      <c r="J46" s="66" t="s">
        <v>146</v>
      </c>
      <c r="K46" s="106">
        <f t="shared" si="41"/>
        <v>75</v>
      </c>
      <c r="L46" s="107">
        <f t="shared" si="42"/>
        <v>118</v>
      </c>
      <c r="M46" s="107">
        <f t="shared" si="43"/>
        <v>142</v>
      </c>
      <c r="N46" s="108">
        <f t="shared" si="44"/>
        <v>158</v>
      </c>
      <c r="O46" s="109">
        <f t="shared" si="17"/>
        <v>315</v>
      </c>
      <c r="P46" s="110">
        <f t="shared" si="17"/>
        <v>495.6</v>
      </c>
      <c r="Q46" s="110">
        <f t="shared" si="17"/>
        <v>596.4</v>
      </c>
      <c r="R46" s="111">
        <f t="shared" si="17"/>
        <v>663.6</v>
      </c>
      <c r="S46" s="112">
        <f t="shared" si="18"/>
        <v>6552</v>
      </c>
      <c r="T46" s="110">
        <f t="shared" si="18"/>
        <v>10308.48</v>
      </c>
      <c r="U46" s="110">
        <f t="shared" si="18"/>
        <v>12405.12</v>
      </c>
      <c r="V46" s="111">
        <f t="shared" si="18"/>
        <v>13802.88</v>
      </c>
      <c r="W46" s="113">
        <v>0.64</v>
      </c>
      <c r="X46" s="114">
        <f t="shared" si="19"/>
        <v>201.6</v>
      </c>
      <c r="Y46" s="115">
        <f t="shared" si="19"/>
        <v>317.18400000000003</v>
      </c>
      <c r="Z46" s="115">
        <f t="shared" si="19"/>
        <v>381.69599999999997</v>
      </c>
      <c r="AA46" s="116">
        <f t="shared" si="19"/>
        <v>424.70400000000001</v>
      </c>
      <c r="AB46" s="117">
        <f t="shared" si="19"/>
        <v>4193.28</v>
      </c>
      <c r="AC46" s="118">
        <f t="shared" si="19"/>
        <v>6597.4272000000001</v>
      </c>
      <c r="AD46" s="118">
        <f t="shared" si="19"/>
        <v>7939.2768000000005</v>
      </c>
      <c r="AE46" s="119">
        <f t="shared" si="19"/>
        <v>8833.8431999999993</v>
      </c>
      <c r="AF46" s="81"/>
      <c r="AG46" s="120">
        <f>IF(AF46="",0,HLOOKUP(AF46,$X$3:$AA$84,A46,FALSE))*52</f>
        <v>0</v>
      </c>
      <c r="AH46" s="121">
        <f>IF(AF46="",0,HLOOKUP(AF46,$X$3:$AA$84,A46,FALSE))*4.3</f>
        <v>0</v>
      </c>
      <c r="AI46" s="122">
        <f t="shared" si="45"/>
        <v>0</v>
      </c>
      <c r="AJ46" s="123">
        <v>0.9</v>
      </c>
      <c r="AL46" s="87"/>
      <c r="AM46" s="87"/>
      <c r="AN46" s="88"/>
      <c r="AY46" s="89"/>
      <c r="AZ46" s="90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2"/>
      <c r="BL46" s="88"/>
      <c r="BW46" s="89"/>
      <c r="BX46" s="96"/>
      <c r="BY46" s="97"/>
      <c r="BZ46" s="97"/>
      <c r="CA46" s="97"/>
      <c r="CB46" s="97"/>
      <c r="CC46" s="97"/>
      <c r="CD46" s="97"/>
      <c r="CE46" s="97"/>
      <c r="CF46" s="97"/>
      <c r="CG46" s="97"/>
      <c r="CH46" s="97"/>
      <c r="CI46" s="98"/>
      <c r="CJ46" s="96">
        <f t="shared" si="40"/>
        <v>0</v>
      </c>
      <c r="CK46" s="97">
        <f t="shared" si="40"/>
        <v>0</v>
      </c>
      <c r="CL46" s="97">
        <f t="shared" si="40"/>
        <v>0</v>
      </c>
      <c r="CM46" s="97">
        <f t="shared" si="40"/>
        <v>0</v>
      </c>
      <c r="CN46" s="97">
        <f t="shared" si="40"/>
        <v>0</v>
      </c>
      <c r="CO46" s="97">
        <f t="shared" si="40"/>
        <v>0</v>
      </c>
      <c r="CP46" s="97">
        <f t="shared" si="40"/>
        <v>0</v>
      </c>
      <c r="CQ46" s="97">
        <f t="shared" si="40"/>
        <v>0</v>
      </c>
      <c r="CR46" s="97">
        <f t="shared" si="40"/>
        <v>0</v>
      </c>
      <c r="CS46" s="97">
        <f t="shared" si="40"/>
        <v>0</v>
      </c>
      <c r="CT46" s="97">
        <f t="shared" si="40"/>
        <v>0</v>
      </c>
      <c r="CU46" s="98">
        <f t="shared" si="40"/>
        <v>0</v>
      </c>
      <c r="CV46" s="99">
        <f t="shared" si="24"/>
        <v>0</v>
      </c>
      <c r="CW46" s="99">
        <f t="shared" si="25"/>
        <v>0</v>
      </c>
    </row>
    <row r="47" spans="1:101" hidden="1" outlineLevel="1" x14ac:dyDescent="0.35">
      <c r="A47">
        <v>45</v>
      </c>
      <c r="B47" s="100" t="s">
        <v>127</v>
      </c>
      <c r="C47" s="101" t="s">
        <v>140</v>
      </c>
      <c r="D47" s="102">
        <v>4800</v>
      </c>
      <c r="E47" s="103" t="s">
        <v>147</v>
      </c>
      <c r="F47" s="104" t="s">
        <v>141</v>
      </c>
      <c r="G47" s="63">
        <v>0.6</v>
      </c>
      <c r="H47" s="105" t="s">
        <v>148</v>
      </c>
      <c r="I47" s="65" t="s">
        <v>142</v>
      </c>
      <c r="J47" s="66" t="s">
        <v>143</v>
      </c>
      <c r="K47" s="106">
        <f t="shared" si="41"/>
        <v>75</v>
      </c>
      <c r="L47" s="107">
        <f t="shared" si="42"/>
        <v>118</v>
      </c>
      <c r="M47" s="107">
        <f t="shared" si="43"/>
        <v>142</v>
      </c>
      <c r="N47" s="108">
        <f t="shared" si="44"/>
        <v>158</v>
      </c>
      <c r="O47" s="109">
        <f t="shared" si="17"/>
        <v>360</v>
      </c>
      <c r="P47" s="110">
        <f t="shared" si="17"/>
        <v>566.4</v>
      </c>
      <c r="Q47" s="110">
        <f t="shared" si="17"/>
        <v>681.6</v>
      </c>
      <c r="R47" s="111">
        <f t="shared" si="17"/>
        <v>758.4</v>
      </c>
      <c r="S47" s="112">
        <f t="shared" si="18"/>
        <v>11232</v>
      </c>
      <c r="T47" s="110">
        <f t="shared" si="18"/>
        <v>17671.68</v>
      </c>
      <c r="U47" s="110">
        <f t="shared" si="18"/>
        <v>21265.919999999998</v>
      </c>
      <c r="V47" s="111">
        <f t="shared" si="18"/>
        <v>23662.079999999998</v>
      </c>
      <c r="W47" s="113">
        <v>0.64</v>
      </c>
      <c r="X47" s="114">
        <f t="shared" si="19"/>
        <v>230.4</v>
      </c>
      <c r="Y47" s="115">
        <f t="shared" si="19"/>
        <v>362.49599999999998</v>
      </c>
      <c r="Z47" s="115">
        <f t="shared" si="19"/>
        <v>436.22400000000005</v>
      </c>
      <c r="AA47" s="116">
        <f t="shared" si="19"/>
        <v>485.37599999999998</v>
      </c>
      <c r="AB47" s="117">
        <f t="shared" si="19"/>
        <v>7188.4800000000005</v>
      </c>
      <c r="AC47" s="118">
        <f t="shared" si="19"/>
        <v>11309.8752</v>
      </c>
      <c r="AD47" s="118">
        <f t="shared" si="19"/>
        <v>13610.1888</v>
      </c>
      <c r="AE47" s="119">
        <f t="shared" si="19"/>
        <v>15143.731199999998</v>
      </c>
      <c r="AF47" s="81"/>
      <c r="AG47" s="120">
        <f>IF(AF47="",0,HLOOKUP(AF47,$X$3:$AA$84,A47,FALSE))*52</f>
        <v>0</v>
      </c>
      <c r="AH47" s="121">
        <f>IF(AF47="",0,HLOOKUP(AF47,$X$3:$AA$84,A47,FALSE))*4.3</f>
        <v>0</v>
      </c>
      <c r="AI47" s="122">
        <f t="shared" si="45"/>
        <v>0</v>
      </c>
      <c r="AJ47" s="123">
        <v>0.9</v>
      </c>
      <c r="AL47" s="87"/>
      <c r="AM47" s="87"/>
      <c r="AN47" s="88"/>
      <c r="AY47" s="89"/>
      <c r="AZ47" s="90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2"/>
      <c r="BL47" s="88"/>
      <c r="BW47" s="89"/>
      <c r="BX47" s="96"/>
      <c r="BY47" s="97"/>
      <c r="BZ47" s="97"/>
      <c r="CA47" s="97"/>
      <c r="CB47" s="97"/>
      <c r="CC47" s="97"/>
      <c r="CD47" s="97"/>
      <c r="CE47" s="97"/>
      <c r="CF47" s="97"/>
      <c r="CG47" s="97"/>
      <c r="CH47" s="97"/>
      <c r="CI47" s="98"/>
      <c r="CJ47" s="96">
        <f t="shared" si="40"/>
        <v>0</v>
      </c>
      <c r="CK47" s="97">
        <f t="shared" si="40"/>
        <v>0</v>
      </c>
      <c r="CL47" s="97">
        <f t="shared" si="40"/>
        <v>0</v>
      </c>
      <c r="CM47" s="97">
        <f t="shared" si="40"/>
        <v>0</v>
      </c>
      <c r="CN47" s="97">
        <f t="shared" si="40"/>
        <v>0</v>
      </c>
      <c r="CO47" s="97">
        <f t="shared" si="40"/>
        <v>0</v>
      </c>
      <c r="CP47" s="97">
        <f t="shared" si="40"/>
        <v>0</v>
      </c>
      <c r="CQ47" s="97">
        <f t="shared" si="40"/>
        <v>0</v>
      </c>
      <c r="CR47" s="97">
        <f t="shared" si="40"/>
        <v>0</v>
      </c>
      <c r="CS47" s="97">
        <f t="shared" si="40"/>
        <v>0</v>
      </c>
      <c r="CT47" s="97">
        <f t="shared" si="40"/>
        <v>0</v>
      </c>
      <c r="CU47" s="98">
        <f t="shared" si="40"/>
        <v>0</v>
      </c>
      <c r="CV47" s="99">
        <f t="shared" si="24"/>
        <v>0</v>
      </c>
      <c r="CW47" s="99">
        <f t="shared" si="25"/>
        <v>0</v>
      </c>
    </row>
    <row r="48" spans="1:101" collapsed="1" x14ac:dyDescent="0.35">
      <c r="A48">
        <v>46</v>
      </c>
      <c r="B48" s="100" t="s">
        <v>127</v>
      </c>
      <c r="C48" s="101" t="s">
        <v>149</v>
      </c>
      <c r="D48" s="125">
        <v>4200</v>
      </c>
      <c r="E48" s="103"/>
      <c r="F48" s="104" t="s">
        <v>150</v>
      </c>
      <c r="G48" s="63">
        <v>0.4</v>
      </c>
      <c r="H48" s="105" t="s">
        <v>85</v>
      </c>
      <c r="I48" s="65" t="s">
        <v>86</v>
      </c>
      <c r="J48" s="66" t="s">
        <v>86</v>
      </c>
      <c r="K48" s="106">
        <f t="shared" si="41"/>
        <v>75</v>
      </c>
      <c r="L48" s="107">
        <f t="shared" si="42"/>
        <v>118</v>
      </c>
      <c r="M48" s="107">
        <f t="shared" si="43"/>
        <v>142</v>
      </c>
      <c r="N48" s="108">
        <f t="shared" si="44"/>
        <v>158</v>
      </c>
      <c r="O48" s="109">
        <f t="shared" si="17"/>
        <v>315</v>
      </c>
      <c r="P48" s="110">
        <f t="shared" si="17"/>
        <v>495.6</v>
      </c>
      <c r="Q48" s="110">
        <f t="shared" si="17"/>
        <v>596.4</v>
      </c>
      <c r="R48" s="111">
        <f t="shared" si="17"/>
        <v>663.6</v>
      </c>
      <c r="S48" s="112">
        <f t="shared" si="18"/>
        <v>6552</v>
      </c>
      <c r="T48" s="110">
        <f t="shared" si="18"/>
        <v>10308.48</v>
      </c>
      <c r="U48" s="110">
        <f t="shared" si="18"/>
        <v>12405.12</v>
      </c>
      <c r="V48" s="111">
        <f t="shared" si="18"/>
        <v>13802.88</v>
      </c>
      <c r="W48" s="113">
        <v>0.63</v>
      </c>
      <c r="X48" s="114">
        <f t="shared" si="19"/>
        <v>198.45</v>
      </c>
      <c r="Y48" s="115">
        <f t="shared" si="19"/>
        <v>312.22800000000001</v>
      </c>
      <c r="Z48" s="115">
        <f t="shared" si="19"/>
        <v>375.73199999999997</v>
      </c>
      <c r="AA48" s="116">
        <f t="shared" si="19"/>
        <v>418.06800000000004</v>
      </c>
      <c r="AB48" s="117">
        <f t="shared" si="19"/>
        <v>4127.76</v>
      </c>
      <c r="AC48" s="118">
        <f t="shared" si="19"/>
        <v>6494.3423999999995</v>
      </c>
      <c r="AD48" s="118">
        <f t="shared" si="19"/>
        <v>7815.2256000000007</v>
      </c>
      <c r="AE48" s="119">
        <f t="shared" si="19"/>
        <v>8695.8143999999993</v>
      </c>
      <c r="AF48" s="81" t="s">
        <v>32</v>
      </c>
      <c r="AG48" s="120">
        <f>IF(AF48="",0,HLOOKUP(AF48,$X$3:$AA$84,A48,FALSE))*52</f>
        <v>16235.856</v>
      </c>
      <c r="AH48" s="121">
        <f>IF(AF48="",0,HLOOKUP(AF48,$X$3:$AA$84,A48,FALSE))*4.3</f>
        <v>1342.5804000000001</v>
      </c>
      <c r="AI48" s="122">
        <f t="shared" si="45"/>
        <v>6494.3423999999995</v>
      </c>
      <c r="AJ48" s="123">
        <v>0.9</v>
      </c>
      <c r="AK48" s="86">
        <f>SUM(AN48:AY48)</f>
        <v>14158.347828309918</v>
      </c>
      <c r="AL48" s="87">
        <f>AK48/AG48</f>
        <v>0.87204196861008854</v>
      </c>
      <c r="AM48" s="87">
        <f t="shared" si="20"/>
        <v>0.96893552067787614</v>
      </c>
      <c r="AN48" s="88">
        <v>1526.0298422873095</v>
      </c>
      <c r="AO48">
        <v>1464.8552261089137</v>
      </c>
      <c r="AP48">
        <v>973.47853654153323</v>
      </c>
      <c r="AQ48">
        <v>1001.7748691700496</v>
      </c>
      <c r="AR48">
        <v>959.77362894308283</v>
      </c>
      <c r="AS48">
        <v>1062.8810021257204</v>
      </c>
      <c r="AT48">
        <v>1227.9684014026136</v>
      </c>
      <c r="AU48">
        <v>1084.1751700972166</v>
      </c>
      <c r="AV48">
        <v>1505.3781903675558</v>
      </c>
      <c r="AW48">
        <v>1108.5659330842057</v>
      </c>
      <c r="AX48">
        <v>1254.6367928332754</v>
      </c>
      <c r="AY48" s="89">
        <v>988.83023534844142</v>
      </c>
      <c r="AZ48" s="90">
        <f t="shared" ref="AZ48:BK48" si="50">AZ$1*HLOOKUP($AF48,$X$3:$AA$84,$A48,FALSE)</f>
        <v>1561.14</v>
      </c>
      <c r="BA48" s="91">
        <f t="shared" si="50"/>
        <v>1248.912</v>
      </c>
      <c r="BB48" s="91">
        <f t="shared" si="50"/>
        <v>1248.912</v>
      </c>
      <c r="BC48" s="91">
        <f t="shared" si="50"/>
        <v>1561.14</v>
      </c>
      <c r="BD48" s="91">
        <f t="shared" si="50"/>
        <v>1248.912</v>
      </c>
      <c r="BE48" s="91">
        <f t="shared" si="50"/>
        <v>1248.912</v>
      </c>
      <c r="BF48" s="91">
        <f t="shared" si="50"/>
        <v>1561.14</v>
      </c>
      <c r="BG48" s="91">
        <f t="shared" si="50"/>
        <v>1248.912</v>
      </c>
      <c r="BH48" s="91">
        <f t="shared" si="50"/>
        <v>1248.912</v>
      </c>
      <c r="BI48" s="91">
        <f t="shared" si="50"/>
        <v>1561.14</v>
      </c>
      <c r="BJ48" s="91">
        <f t="shared" si="50"/>
        <v>1248.912</v>
      </c>
      <c r="BK48" s="92">
        <f t="shared" si="50"/>
        <v>1248.912</v>
      </c>
      <c r="BL48" s="93">
        <f t="shared" ref="BL48:BW48" si="51">AN48/AZ48</f>
        <v>0.97750992370146783</v>
      </c>
      <c r="BM48" s="94">
        <f t="shared" si="51"/>
        <v>1.1729050774665579</v>
      </c>
      <c r="BN48" s="94">
        <f t="shared" si="51"/>
        <v>0.77946127232465789</v>
      </c>
      <c r="BO48" s="94">
        <f t="shared" si="51"/>
        <v>0.64169444711560109</v>
      </c>
      <c r="BP48" s="94">
        <f t="shared" si="51"/>
        <v>0.76848779493117436</v>
      </c>
      <c r="BQ48" s="94">
        <f t="shared" si="51"/>
        <v>0.85104555174881846</v>
      </c>
      <c r="BR48" s="94">
        <f t="shared" si="51"/>
        <v>0.78658441997682049</v>
      </c>
      <c r="BS48" s="94">
        <f t="shared" si="51"/>
        <v>0.86809572659820433</v>
      </c>
      <c r="BT48" s="94">
        <f t="shared" si="51"/>
        <v>1.2053516904053734</v>
      </c>
      <c r="BU48" s="94">
        <f t="shared" si="51"/>
        <v>0.71010026844754837</v>
      </c>
      <c r="BV48" s="94">
        <f t="shared" si="51"/>
        <v>1.0045838240270535</v>
      </c>
      <c r="BW48" s="95">
        <f t="shared" si="51"/>
        <v>0.79175333037751372</v>
      </c>
      <c r="BX48" s="96">
        <f t="shared" si="22"/>
        <v>35.11015771269058</v>
      </c>
      <c r="BY48" s="97">
        <f t="shared" si="22"/>
        <v>-215.94322610891368</v>
      </c>
      <c r="BZ48" s="97">
        <f t="shared" si="22"/>
        <v>275.4334634584668</v>
      </c>
      <c r="CA48" s="97">
        <f t="shared" si="22"/>
        <v>559.36513082995054</v>
      </c>
      <c r="CB48" s="97">
        <f t="shared" si="22"/>
        <v>289.13837105691721</v>
      </c>
      <c r="CC48" s="97">
        <f t="shared" si="22"/>
        <v>186.03099787427959</v>
      </c>
      <c r="CD48" s="97">
        <f t="shared" si="22"/>
        <v>333.17159859738649</v>
      </c>
      <c r="CE48" s="97">
        <f t="shared" si="22"/>
        <v>164.73682990278348</v>
      </c>
      <c r="CF48" s="97">
        <f t="shared" si="22"/>
        <v>-256.46619036755578</v>
      </c>
      <c r="CG48" s="97">
        <f t="shared" si="22"/>
        <v>452.57406691579445</v>
      </c>
      <c r="CH48" s="97">
        <f t="shared" si="22"/>
        <v>-5.7247928332753872</v>
      </c>
      <c r="CI48" s="98">
        <f t="shared" si="22"/>
        <v>260.08176465155861</v>
      </c>
      <c r="CJ48" s="96">
        <f t="shared" si="40"/>
        <v>31.599141941421522</v>
      </c>
      <c r="CK48" s="97">
        <f t="shared" si="40"/>
        <v>-194.34890349802231</v>
      </c>
      <c r="CL48" s="97">
        <f t="shared" si="40"/>
        <v>247.89011711262012</v>
      </c>
      <c r="CM48" s="97">
        <f t="shared" si="40"/>
        <v>503.42861774695552</v>
      </c>
      <c r="CN48" s="97">
        <f t="shared" si="40"/>
        <v>260.22453395122551</v>
      </c>
      <c r="CO48" s="97">
        <f t="shared" si="40"/>
        <v>167.42789808685163</v>
      </c>
      <c r="CP48" s="97">
        <f t="shared" si="40"/>
        <v>299.85443873764785</v>
      </c>
      <c r="CQ48" s="97">
        <f t="shared" si="40"/>
        <v>148.26314691250514</v>
      </c>
      <c r="CR48" s="97">
        <f t="shared" si="40"/>
        <v>-230.81957133080022</v>
      </c>
      <c r="CS48" s="97">
        <f t="shared" si="40"/>
        <v>407.31666022421501</v>
      </c>
      <c r="CT48" s="97">
        <f t="shared" si="40"/>
        <v>-5.1523135499478485</v>
      </c>
      <c r="CU48" s="98">
        <f t="shared" si="40"/>
        <v>234.07358818640276</v>
      </c>
      <c r="CV48" s="99">
        <f t="shared" si="24"/>
        <v>14612.270400000001</v>
      </c>
      <c r="CW48" s="99">
        <f t="shared" si="25"/>
        <v>5844.90816</v>
      </c>
    </row>
    <row r="49" spans="1:101" hidden="1" outlineLevel="1" x14ac:dyDescent="0.35">
      <c r="A49">
        <v>47</v>
      </c>
      <c r="B49" s="100" t="s">
        <v>127</v>
      </c>
      <c r="C49" s="101" t="s">
        <v>149</v>
      </c>
      <c r="D49" s="102">
        <v>4200</v>
      </c>
      <c r="E49" s="103" t="s">
        <v>151</v>
      </c>
      <c r="F49" s="104" t="s">
        <v>152</v>
      </c>
      <c r="G49" s="63"/>
      <c r="H49" s="105" t="s">
        <v>68</v>
      </c>
      <c r="I49" s="65" t="s">
        <v>86</v>
      </c>
      <c r="J49" s="66" t="s">
        <v>146</v>
      </c>
      <c r="K49" s="106">
        <f t="shared" si="41"/>
        <v>75</v>
      </c>
      <c r="L49" s="107">
        <f t="shared" si="42"/>
        <v>118</v>
      </c>
      <c r="M49" s="107">
        <f t="shared" si="43"/>
        <v>142</v>
      </c>
      <c r="N49" s="108">
        <f t="shared" si="44"/>
        <v>158</v>
      </c>
      <c r="O49" s="109">
        <f t="shared" si="17"/>
        <v>315</v>
      </c>
      <c r="P49" s="110">
        <f t="shared" si="17"/>
        <v>495.6</v>
      </c>
      <c r="Q49" s="110">
        <f t="shared" si="17"/>
        <v>596.4</v>
      </c>
      <c r="R49" s="111">
        <f t="shared" si="17"/>
        <v>663.6</v>
      </c>
      <c r="S49" s="112">
        <f t="shared" si="18"/>
        <v>0</v>
      </c>
      <c r="T49" s="110">
        <f t="shared" si="18"/>
        <v>0</v>
      </c>
      <c r="U49" s="110">
        <f t="shared" si="18"/>
        <v>0</v>
      </c>
      <c r="V49" s="111">
        <f t="shared" si="18"/>
        <v>0</v>
      </c>
      <c r="W49" s="113">
        <v>0.63</v>
      </c>
      <c r="X49" s="114">
        <f t="shared" si="19"/>
        <v>198.45</v>
      </c>
      <c r="Y49" s="115">
        <f t="shared" si="19"/>
        <v>312.22800000000001</v>
      </c>
      <c r="Z49" s="115">
        <f t="shared" si="19"/>
        <v>375.73199999999997</v>
      </c>
      <c r="AA49" s="116">
        <f t="shared" si="19"/>
        <v>418.06800000000004</v>
      </c>
      <c r="AB49" s="117">
        <f t="shared" si="19"/>
        <v>0</v>
      </c>
      <c r="AC49" s="118">
        <f t="shared" si="19"/>
        <v>0</v>
      </c>
      <c r="AD49" s="118">
        <f t="shared" si="19"/>
        <v>0</v>
      </c>
      <c r="AE49" s="119">
        <f t="shared" si="19"/>
        <v>0</v>
      </c>
      <c r="AF49" s="81"/>
      <c r="AG49" s="120">
        <f t="shared" ref="AG49:AG55" si="52">IF(AF49="",0,HLOOKUP(AF49,$X$3:$AA$84,A49,FALSE))*52</f>
        <v>0</v>
      </c>
      <c r="AH49" s="121">
        <f t="shared" ref="AH49:AH55" si="53">IF(AF49="",0,HLOOKUP(AF49,$X$3:$AA$84,A49,FALSE))*4.3</f>
        <v>0</v>
      </c>
      <c r="AI49" s="122">
        <f t="shared" si="45"/>
        <v>0</v>
      </c>
      <c r="AJ49" s="123">
        <v>0.9</v>
      </c>
      <c r="AK49" s="86"/>
      <c r="AL49" s="87"/>
      <c r="AM49" s="87"/>
      <c r="AN49" s="88"/>
      <c r="AY49" s="89"/>
      <c r="AZ49" s="90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2"/>
      <c r="BL49" s="88"/>
      <c r="BW49" s="89"/>
      <c r="BX49" s="96"/>
      <c r="BY49" s="97"/>
      <c r="BZ49" s="97"/>
      <c r="CA49" s="97"/>
      <c r="CB49" s="97"/>
      <c r="CC49" s="97"/>
      <c r="CD49" s="97"/>
      <c r="CE49" s="97"/>
      <c r="CF49" s="97"/>
      <c r="CG49" s="97"/>
      <c r="CH49" s="97"/>
      <c r="CI49" s="98"/>
      <c r="CJ49" s="96">
        <f t="shared" si="40"/>
        <v>0</v>
      </c>
      <c r="CK49" s="97">
        <f t="shared" si="40"/>
        <v>0</v>
      </c>
      <c r="CL49" s="97">
        <f t="shared" si="40"/>
        <v>0</v>
      </c>
      <c r="CM49" s="97">
        <f t="shared" si="40"/>
        <v>0</v>
      </c>
      <c r="CN49" s="97">
        <f t="shared" si="40"/>
        <v>0</v>
      </c>
      <c r="CO49" s="97">
        <f t="shared" si="40"/>
        <v>0</v>
      </c>
      <c r="CP49" s="97">
        <f t="shared" si="40"/>
        <v>0</v>
      </c>
      <c r="CQ49" s="97">
        <f t="shared" si="40"/>
        <v>0</v>
      </c>
      <c r="CR49" s="97">
        <f t="shared" si="40"/>
        <v>0</v>
      </c>
      <c r="CS49" s="97">
        <f t="shared" si="40"/>
        <v>0</v>
      </c>
      <c r="CT49" s="97">
        <f t="shared" si="40"/>
        <v>0</v>
      </c>
      <c r="CU49" s="98">
        <f t="shared" si="40"/>
        <v>0</v>
      </c>
      <c r="CV49" s="99">
        <f t="shared" si="24"/>
        <v>0</v>
      </c>
      <c r="CW49" s="99">
        <f t="shared" si="25"/>
        <v>0</v>
      </c>
    </row>
    <row r="50" spans="1:101" hidden="1" outlineLevel="1" x14ac:dyDescent="0.35">
      <c r="A50">
        <v>48</v>
      </c>
      <c r="B50" s="100" t="s">
        <v>127</v>
      </c>
      <c r="C50" s="101" t="s">
        <v>149</v>
      </c>
      <c r="D50" s="102">
        <v>4200</v>
      </c>
      <c r="E50" s="103" t="s">
        <v>153</v>
      </c>
      <c r="F50" s="104" t="s">
        <v>102</v>
      </c>
      <c r="G50" s="63">
        <v>0.52</v>
      </c>
      <c r="H50" s="105" t="s">
        <v>154</v>
      </c>
      <c r="I50" s="65" t="s">
        <v>86</v>
      </c>
      <c r="J50" s="66" t="s">
        <v>146</v>
      </c>
      <c r="K50" s="106">
        <f t="shared" si="41"/>
        <v>75</v>
      </c>
      <c r="L50" s="107">
        <f t="shared" si="42"/>
        <v>118</v>
      </c>
      <c r="M50" s="107">
        <f t="shared" si="43"/>
        <v>142</v>
      </c>
      <c r="N50" s="108">
        <f t="shared" si="44"/>
        <v>158</v>
      </c>
      <c r="O50" s="109">
        <f t="shared" si="17"/>
        <v>315</v>
      </c>
      <c r="P50" s="110">
        <f t="shared" si="17"/>
        <v>495.6</v>
      </c>
      <c r="Q50" s="110">
        <f t="shared" si="17"/>
        <v>596.4</v>
      </c>
      <c r="R50" s="111">
        <f t="shared" si="17"/>
        <v>663.6</v>
      </c>
      <c r="S50" s="112">
        <f t="shared" si="18"/>
        <v>8517.6</v>
      </c>
      <c r="T50" s="110">
        <f t="shared" si="18"/>
        <v>13401.024000000003</v>
      </c>
      <c r="U50" s="110">
        <f t="shared" si="18"/>
        <v>16126.655999999999</v>
      </c>
      <c r="V50" s="111">
        <f t="shared" si="18"/>
        <v>17943.743999999999</v>
      </c>
      <c r="W50" s="113">
        <v>0.63</v>
      </c>
      <c r="X50" s="114">
        <f t="shared" si="19"/>
        <v>198.45</v>
      </c>
      <c r="Y50" s="115">
        <f t="shared" si="19"/>
        <v>312.22800000000001</v>
      </c>
      <c r="Z50" s="115">
        <f t="shared" si="19"/>
        <v>375.73199999999997</v>
      </c>
      <c r="AA50" s="116">
        <f t="shared" si="19"/>
        <v>418.06800000000004</v>
      </c>
      <c r="AB50" s="117">
        <f t="shared" si="19"/>
        <v>5366.0880000000006</v>
      </c>
      <c r="AC50" s="118">
        <f t="shared" si="19"/>
        <v>8442.6451200000029</v>
      </c>
      <c r="AD50" s="118">
        <f t="shared" si="19"/>
        <v>10159.79328</v>
      </c>
      <c r="AE50" s="119">
        <f t="shared" si="19"/>
        <v>11304.558719999999</v>
      </c>
      <c r="AF50" s="81"/>
      <c r="AG50" s="120">
        <f t="shared" si="52"/>
        <v>0</v>
      </c>
      <c r="AH50" s="121">
        <f t="shared" si="53"/>
        <v>0</v>
      </c>
      <c r="AI50" s="122">
        <f t="shared" si="45"/>
        <v>0</v>
      </c>
      <c r="AJ50" s="123">
        <v>0.9</v>
      </c>
      <c r="AK50" s="86"/>
      <c r="AL50" s="87"/>
      <c r="AM50" s="87"/>
      <c r="AN50" s="88"/>
      <c r="AY50" s="89"/>
      <c r="AZ50" s="90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2"/>
      <c r="BL50" s="88"/>
      <c r="BW50" s="89"/>
      <c r="BX50" s="96"/>
      <c r="BY50" s="97"/>
      <c r="BZ50" s="97"/>
      <c r="CA50" s="97"/>
      <c r="CB50" s="97"/>
      <c r="CC50" s="97"/>
      <c r="CD50" s="97"/>
      <c r="CE50" s="97"/>
      <c r="CF50" s="97"/>
      <c r="CG50" s="97"/>
      <c r="CH50" s="97"/>
      <c r="CI50" s="98"/>
      <c r="CJ50" s="96">
        <f t="shared" si="40"/>
        <v>0</v>
      </c>
      <c r="CK50" s="97">
        <f t="shared" si="40"/>
        <v>0</v>
      </c>
      <c r="CL50" s="97">
        <f t="shared" si="40"/>
        <v>0</v>
      </c>
      <c r="CM50" s="97">
        <f t="shared" si="40"/>
        <v>0</v>
      </c>
      <c r="CN50" s="97">
        <f t="shared" si="40"/>
        <v>0</v>
      </c>
      <c r="CO50" s="97">
        <f t="shared" si="40"/>
        <v>0</v>
      </c>
      <c r="CP50" s="97">
        <f t="shared" si="40"/>
        <v>0</v>
      </c>
      <c r="CQ50" s="97">
        <f t="shared" si="40"/>
        <v>0</v>
      </c>
      <c r="CR50" s="97">
        <f t="shared" si="40"/>
        <v>0</v>
      </c>
      <c r="CS50" s="97">
        <f t="shared" si="40"/>
        <v>0</v>
      </c>
      <c r="CT50" s="97">
        <f t="shared" si="40"/>
        <v>0</v>
      </c>
      <c r="CU50" s="98">
        <f t="shared" si="40"/>
        <v>0</v>
      </c>
      <c r="CV50" s="99">
        <f t="shared" si="24"/>
        <v>0</v>
      </c>
      <c r="CW50" s="99">
        <f t="shared" si="25"/>
        <v>0</v>
      </c>
    </row>
    <row r="51" spans="1:101" hidden="1" outlineLevel="1" x14ac:dyDescent="0.35">
      <c r="A51">
        <v>49</v>
      </c>
      <c r="B51" s="100" t="s">
        <v>127</v>
      </c>
      <c r="C51" s="101" t="s">
        <v>149</v>
      </c>
      <c r="D51" s="102">
        <v>4200</v>
      </c>
      <c r="E51" s="103" t="s">
        <v>155</v>
      </c>
      <c r="F51" s="104" t="s">
        <v>156</v>
      </c>
      <c r="G51" s="63"/>
      <c r="H51" s="105" t="s">
        <v>76</v>
      </c>
      <c r="I51" s="65" t="s">
        <v>86</v>
      </c>
      <c r="J51" s="66" t="s">
        <v>86</v>
      </c>
      <c r="K51" s="106">
        <f t="shared" si="41"/>
        <v>75</v>
      </c>
      <c r="L51" s="107">
        <f t="shared" si="42"/>
        <v>118</v>
      </c>
      <c r="M51" s="107">
        <f t="shared" si="43"/>
        <v>142</v>
      </c>
      <c r="N51" s="108">
        <f t="shared" si="44"/>
        <v>158</v>
      </c>
      <c r="O51" s="109">
        <f t="shared" si="17"/>
        <v>315</v>
      </c>
      <c r="P51" s="110">
        <f t="shared" si="17"/>
        <v>495.6</v>
      </c>
      <c r="Q51" s="110">
        <f t="shared" si="17"/>
        <v>596.4</v>
      </c>
      <c r="R51" s="111">
        <f t="shared" si="17"/>
        <v>663.6</v>
      </c>
      <c r="S51" s="112">
        <f t="shared" si="18"/>
        <v>0</v>
      </c>
      <c r="T51" s="110">
        <f t="shared" si="18"/>
        <v>0</v>
      </c>
      <c r="U51" s="110">
        <f t="shared" si="18"/>
        <v>0</v>
      </c>
      <c r="V51" s="111">
        <f t="shared" si="18"/>
        <v>0</v>
      </c>
      <c r="W51" s="113">
        <v>0.63</v>
      </c>
      <c r="X51" s="114">
        <f t="shared" si="19"/>
        <v>198.45</v>
      </c>
      <c r="Y51" s="115">
        <f t="shared" si="19"/>
        <v>312.22800000000001</v>
      </c>
      <c r="Z51" s="115">
        <f t="shared" si="19"/>
        <v>375.73199999999997</v>
      </c>
      <c r="AA51" s="116">
        <f t="shared" si="19"/>
        <v>418.06800000000004</v>
      </c>
      <c r="AB51" s="117">
        <f t="shared" si="19"/>
        <v>0</v>
      </c>
      <c r="AC51" s="118">
        <f t="shared" si="19"/>
        <v>0</v>
      </c>
      <c r="AD51" s="118">
        <f t="shared" si="19"/>
        <v>0</v>
      </c>
      <c r="AE51" s="119">
        <f t="shared" si="19"/>
        <v>0</v>
      </c>
      <c r="AF51" s="81"/>
      <c r="AG51" s="120">
        <f t="shared" si="52"/>
        <v>0</v>
      </c>
      <c r="AH51" s="121">
        <f t="shared" si="53"/>
        <v>0</v>
      </c>
      <c r="AI51" s="122">
        <f t="shared" si="45"/>
        <v>0</v>
      </c>
      <c r="AJ51" s="123">
        <v>0.9</v>
      </c>
      <c r="AK51" s="86"/>
      <c r="AL51" s="87"/>
      <c r="AM51" s="87"/>
      <c r="AN51" s="88"/>
      <c r="AY51" s="89"/>
      <c r="AZ51" s="90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2"/>
      <c r="BL51" s="88"/>
      <c r="BW51" s="89"/>
      <c r="BX51" s="96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8"/>
      <c r="CJ51" s="96">
        <f t="shared" si="40"/>
        <v>0</v>
      </c>
      <c r="CK51" s="97">
        <f t="shared" si="40"/>
        <v>0</v>
      </c>
      <c r="CL51" s="97">
        <f t="shared" si="40"/>
        <v>0</v>
      </c>
      <c r="CM51" s="97">
        <f t="shared" si="40"/>
        <v>0</v>
      </c>
      <c r="CN51" s="97">
        <f t="shared" si="40"/>
        <v>0</v>
      </c>
      <c r="CO51" s="97">
        <f t="shared" si="40"/>
        <v>0</v>
      </c>
      <c r="CP51" s="97">
        <f t="shared" si="40"/>
        <v>0</v>
      </c>
      <c r="CQ51" s="97">
        <f t="shared" si="40"/>
        <v>0</v>
      </c>
      <c r="CR51" s="97">
        <f t="shared" si="40"/>
        <v>0</v>
      </c>
      <c r="CS51" s="97">
        <f t="shared" si="40"/>
        <v>0</v>
      </c>
      <c r="CT51" s="97">
        <f t="shared" si="40"/>
        <v>0</v>
      </c>
      <c r="CU51" s="98">
        <f t="shared" si="40"/>
        <v>0</v>
      </c>
      <c r="CV51" s="99">
        <f t="shared" si="24"/>
        <v>0</v>
      </c>
      <c r="CW51" s="99">
        <f t="shared" si="25"/>
        <v>0</v>
      </c>
    </row>
    <row r="52" spans="1:101" hidden="1" outlineLevel="1" x14ac:dyDescent="0.35">
      <c r="A52">
        <v>50</v>
      </c>
      <c r="B52" s="100" t="s">
        <v>127</v>
      </c>
      <c r="C52" s="101" t="s">
        <v>149</v>
      </c>
      <c r="D52" s="102">
        <v>4200</v>
      </c>
      <c r="E52" s="103" t="s">
        <v>157</v>
      </c>
      <c r="F52" s="104" t="s">
        <v>158</v>
      </c>
      <c r="G52" s="63"/>
      <c r="H52" s="105" t="s">
        <v>55</v>
      </c>
      <c r="I52" s="65" t="s">
        <v>86</v>
      </c>
      <c r="J52" s="66" t="s">
        <v>86</v>
      </c>
      <c r="K52" s="106">
        <f t="shared" si="41"/>
        <v>75</v>
      </c>
      <c r="L52" s="107">
        <f t="shared" si="42"/>
        <v>118</v>
      </c>
      <c r="M52" s="107">
        <f t="shared" si="43"/>
        <v>142</v>
      </c>
      <c r="N52" s="108">
        <f t="shared" si="44"/>
        <v>158</v>
      </c>
      <c r="O52" s="109">
        <f t="shared" si="17"/>
        <v>315</v>
      </c>
      <c r="P52" s="110">
        <f t="shared" si="17"/>
        <v>495.6</v>
      </c>
      <c r="Q52" s="110">
        <f t="shared" si="17"/>
        <v>596.4</v>
      </c>
      <c r="R52" s="111">
        <f t="shared" si="17"/>
        <v>663.6</v>
      </c>
      <c r="S52" s="112">
        <f t="shared" si="18"/>
        <v>0</v>
      </c>
      <c r="T52" s="110">
        <f t="shared" si="18"/>
        <v>0</v>
      </c>
      <c r="U52" s="110">
        <f t="shared" si="18"/>
        <v>0</v>
      </c>
      <c r="V52" s="111">
        <f t="shared" si="18"/>
        <v>0</v>
      </c>
      <c r="W52" s="113">
        <v>1.63</v>
      </c>
      <c r="X52" s="114">
        <f t="shared" si="19"/>
        <v>513.44999999999993</v>
      </c>
      <c r="Y52" s="115">
        <f t="shared" si="19"/>
        <v>807.82799999999997</v>
      </c>
      <c r="Z52" s="115">
        <f t="shared" si="19"/>
        <v>972.13199999999995</v>
      </c>
      <c r="AA52" s="116">
        <f t="shared" si="19"/>
        <v>1081.6679999999999</v>
      </c>
      <c r="AB52" s="117">
        <f t="shared" si="19"/>
        <v>0</v>
      </c>
      <c r="AC52" s="118">
        <f t="shared" si="19"/>
        <v>0</v>
      </c>
      <c r="AD52" s="118">
        <f t="shared" si="19"/>
        <v>0</v>
      </c>
      <c r="AE52" s="119">
        <f t="shared" si="19"/>
        <v>0</v>
      </c>
      <c r="AF52" s="81"/>
      <c r="AG52" s="120">
        <f t="shared" si="52"/>
        <v>0</v>
      </c>
      <c r="AH52" s="121">
        <f t="shared" si="53"/>
        <v>0</v>
      </c>
      <c r="AI52" s="122">
        <f t="shared" si="45"/>
        <v>0</v>
      </c>
      <c r="AJ52" s="123">
        <v>0.9</v>
      </c>
      <c r="AK52" s="86"/>
      <c r="AL52" s="87"/>
      <c r="AM52" s="87"/>
      <c r="AN52" s="88"/>
      <c r="AY52" s="89"/>
      <c r="AZ52" s="90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2"/>
      <c r="BL52" s="88"/>
      <c r="BW52" s="89"/>
      <c r="BX52" s="96"/>
      <c r="BY52" s="97"/>
      <c r="BZ52" s="97"/>
      <c r="CA52" s="97"/>
      <c r="CB52" s="97"/>
      <c r="CC52" s="97"/>
      <c r="CD52" s="97"/>
      <c r="CE52" s="97"/>
      <c r="CF52" s="97"/>
      <c r="CG52" s="97"/>
      <c r="CH52" s="97"/>
      <c r="CI52" s="98"/>
      <c r="CJ52" s="96">
        <f t="shared" si="40"/>
        <v>0</v>
      </c>
      <c r="CK52" s="97">
        <f t="shared" si="40"/>
        <v>0</v>
      </c>
      <c r="CL52" s="97">
        <f t="shared" si="40"/>
        <v>0</v>
      </c>
      <c r="CM52" s="97">
        <f t="shared" si="40"/>
        <v>0</v>
      </c>
      <c r="CN52" s="97">
        <f t="shared" si="40"/>
        <v>0</v>
      </c>
      <c r="CO52" s="97">
        <f t="shared" si="40"/>
        <v>0</v>
      </c>
      <c r="CP52" s="97">
        <f t="shared" si="40"/>
        <v>0</v>
      </c>
      <c r="CQ52" s="97">
        <f t="shared" si="40"/>
        <v>0</v>
      </c>
      <c r="CR52" s="97">
        <f t="shared" si="40"/>
        <v>0</v>
      </c>
      <c r="CS52" s="97">
        <f t="shared" si="40"/>
        <v>0</v>
      </c>
      <c r="CT52" s="97">
        <f t="shared" si="40"/>
        <v>0</v>
      </c>
      <c r="CU52" s="98">
        <f t="shared" si="40"/>
        <v>0</v>
      </c>
      <c r="CV52" s="99">
        <f t="shared" si="24"/>
        <v>0</v>
      </c>
      <c r="CW52" s="99">
        <f t="shared" si="25"/>
        <v>0</v>
      </c>
    </row>
    <row r="53" spans="1:101" hidden="1" outlineLevel="1" x14ac:dyDescent="0.35">
      <c r="A53">
        <v>51</v>
      </c>
      <c r="B53" s="100" t="s">
        <v>127</v>
      </c>
      <c r="C53" s="101" t="s">
        <v>149</v>
      </c>
      <c r="D53" s="102">
        <v>4200</v>
      </c>
      <c r="E53" s="103" t="s">
        <v>159</v>
      </c>
      <c r="F53" s="104" t="s">
        <v>160</v>
      </c>
      <c r="G53" s="63"/>
      <c r="H53" s="105" t="s">
        <v>161</v>
      </c>
      <c r="I53" s="65" t="s">
        <v>86</v>
      </c>
      <c r="J53" s="66" t="s">
        <v>86</v>
      </c>
      <c r="K53" s="106">
        <f t="shared" si="41"/>
        <v>75</v>
      </c>
      <c r="L53" s="107">
        <f t="shared" si="42"/>
        <v>118</v>
      </c>
      <c r="M53" s="107">
        <f t="shared" si="43"/>
        <v>142</v>
      </c>
      <c r="N53" s="108">
        <f t="shared" si="44"/>
        <v>158</v>
      </c>
      <c r="O53" s="109">
        <f t="shared" si="17"/>
        <v>315</v>
      </c>
      <c r="P53" s="110">
        <f t="shared" si="17"/>
        <v>495.6</v>
      </c>
      <c r="Q53" s="110">
        <f t="shared" si="17"/>
        <v>596.4</v>
      </c>
      <c r="R53" s="111">
        <f t="shared" si="17"/>
        <v>663.6</v>
      </c>
      <c r="S53" s="112">
        <f t="shared" si="18"/>
        <v>0</v>
      </c>
      <c r="T53" s="110">
        <f t="shared" si="18"/>
        <v>0</v>
      </c>
      <c r="U53" s="110">
        <f t="shared" si="18"/>
        <v>0</v>
      </c>
      <c r="V53" s="111">
        <f t="shared" si="18"/>
        <v>0</v>
      </c>
      <c r="W53" s="113">
        <v>2.63</v>
      </c>
      <c r="X53" s="114">
        <f t="shared" si="19"/>
        <v>828.44999999999993</v>
      </c>
      <c r="Y53" s="115">
        <f t="shared" si="19"/>
        <v>1303.4280000000001</v>
      </c>
      <c r="Z53" s="115">
        <f t="shared" si="19"/>
        <v>1568.5319999999999</v>
      </c>
      <c r="AA53" s="116">
        <f t="shared" si="19"/>
        <v>1745.268</v>
      </c>
      <c r="AB53" s="117">
        <f t="shared" si="19"/>
        <v>0</v>
      </c>
      <c r="AC53" s="118">
        <f t="shared" si="19"/>
        <v>0</v>
      </c>
      <c r="AD53" s="118">
        <f t="shared" ref="AD53:AE55" si="54">$W53*U53</f>
        <v>0</v>
      </c>
      <c r="AE53" s="119">
        <f t="shared" si="54"/>
        <v>0</v>
      </c>
      <c r="AF53" s="81"/>
      <c r="AG53" s="120">
        <f t="shared" si="52"/>
        <v>0</v>
      </c>
      <c r="AH53" s="121">
        <f t="shared" si="53"/>
        <v>0</v>
      </c>
      <c r="AI53" s="122">
        <f t="shared" si="45"/>
        <v>0</v>
      </c>
      <c r="AJ53" s="123">
        <v>0.9</v>
      </c>
      <c r="AK53" s="86"/>
      <c r="AL53" s="87"/>
      <c r="AM53" s="87"/>
      <c r="AN53" s="88"/>
      <c r="AY53" s="89"/>
      <c r="AZ53" s="90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2"/>
      <c r="BL53" s="88"/>
      <c r="BW53" s="89"/>
      <c r="BX53" s="96"/>
      <c r="BY53" s="97"/>
      <c r="BZ53" s="97"/>
      <c r="CA53" s="97"/>
      <c r="CB53" s="97"/>
      <c r="CC53" s="97"/>
      <c r="CD53" s="97"/>
      <c r="CE53" s="97"/>
      <c r="CF53" s="97"/>
      <c r="CG53" s="97"/>
      <c r="CH53" s="97"/>
      <c r="CI53" s="98"/>
      <c r="CJ53" s="96">
        <f t="shared" si="40"/>
        <v>0</v>
      </c>
      <c r="CK53" s="97">
        <f t="shared" si="40"/>
        <v>0</v>
      </c>
      <c r="CL53" s="97">
        <f t="shared" si="40"/>
        <v>0</v>
      </c>
      <c r="CM53" s="97">
        <f t="shared" si="40"/>
        <v>0</v>
      </c>
      <c r="CN53" s="97">
        <f t="shared" si="40"/>
        <v>0</v>
      </c>
      <c r="CO53" s="97">
        <f t="shared" si="40"/>
        <v>0</v>
      </c>
      <c r="CP53" s="97">
        <f t="shared" si="40"/>
        <v>0</v>
      </c>
      <c r="CQ53" s="97">
        <f t="shared" si="40"/>
        <v>0</v>
      </c>
      <c r="CR53" s="97">
        <f t="shared" si="40"/>
        <v>0</v>
      </c>
      <c r="CS53" s="97">
        <f t="shared" si="40"/>
        <v>0</v>
      </c>
      <c r="CT53" s="97">
        <f t="shared" si="40"/>
        <v>0</v>
      </c>
      <c r="CU53" s="98">
        <f t="shared" si="40"/>
        <v>0</v>
      </c>
      <c r="CV53" s="99">
        <f t="shared" si="24"/>
        <v>0</v>
      </c>
      <c r="CW53" s="99">
        <f t="shared" si="25"/>
        <v>0</v>
      </c>
    </row>
    <row r="54" spans="1:101" hidden="1" outlineLevel="1" x14ac:dyDescent="0.35">
      <c r="A54">
        <v>52</v>
      </c>
      <c r="B54" s="100" t="s">
        <v>127</v>
      </c>
      <c r="C54" s="101" t="s">
        <v>149</v>
      </c>
      <c r="D54" s="102">
        <v>4200</v>
      </c>
      <c r="E54" s="103" t="s">
        <v>159</v>
      </c>
      <c r="F54" s="104" t="s">
        <v>160</v>
      </c>
      <c r="G54" s="63">
        <v>0.23</v>
      </c>
      <c r="H54" s="105" t="s">
        <v>76</v>
      </c>
      <c r="I54" s="65" t="s">
        <v>86</v>
      </c>
      <c r="J54" s="66" t="s">
        <v>86</v>
      </c>
      <c r="K54" s="106">
        <f t="shared" si="41"/>
        <v>75</v>
      </c>
      <c r="L54" s="107">
        <f t="shared" si="42"/>
        <v>118</v>
      </c>
      <c r="M54" s="107">
        <f t="shared" si="43"/>
        <v>142</v>
      </c>
      <c r="N54" s="108">
        <f t="shared" si="44"/>
        <v>158</v>
      </c>
      <c r="O54" s="109">
        <f t="shared" si="17"/>
        <v>315</v>
      </c>
      <c r="P54" s="110">
        <f t="shared" si="17"/>
        <v>495.6</v>
      </c>
      <c r="Q54" s="110">
        <f t="shared" si="17"/>
        <v>596.4</v>
      </c>
      <c r="R54" s="111">
        <f t="shared" si="17"/>
        <v>663.6</v>
      </c>
      <c r="S54" s="112">
        <f t="shared" si="18"/>
        <v>3767.4</v>
      </c>
      <c r="T54" s="110">
        <f t="shared" si="18"/>
        <v>5927.3760000000011</v>
      </c>
      <c r="U54" s="110">
        <f t="shared" si="18"/>
        <v>7132.9439999999995</v>
      </c>
      <c r="V54" s="111">
        <f t="shared" si="18"/>
        <v>7936.6560000000009</v>
      </c>
      <c r="W54" s="113">
        <v>3.63</v>
      </c>
      <c r="X54" s="114">
        <f t="shared" ref="X54:AE69" si="55">$W54*O54</f>
        <v>1143.45</v>
      </c>
      <c r="Y54" s="115">
        <f t="shared" si="55"/>
        <v>1799.028</v>
      </c>
      <c r="Z54" s="115">
        <f t="shared" si="55"/>
        <v>2164.9319999999998</v>
      </c>
      <c r="AA54" s="116">
        <f t="shared" si="55"/>
        <v>2408.8679999999999</v>
      </c>
      <c r="AB54" s="117">
        <f t="shared" si="55"/>
        <v>13675.662</v>
      </c>
      <c r="AC54" s="118">
        <f t="shared" si="55"/>
        <v>21516.374880000003</v>
      </c>
      <c r="AD54" s="118">
        <f t="shared" si="54"/>
        <v>25892.586719999996</v>
      </c>
      <c r="AE54" s="119">
        <f t="shared" si="54"/>
        <v>28810.061280000002</v>
      </c>
      <c r="AF54" s="81"/>
      <c r="AG54" s="120">
        <f t="shared" si="52"/>
        <v>0</v>
      </c>
      <c r="AH54" s="121">
        <f t="shared" si="53"/>
        <v>0</v>
      </c>
      <c r="AI54" s="122">
        <f t="shared" si="45"/>
        <v>0</v>
      </c>
      <c r="AJ54" s="123">
        <v>0.9</v>
      </c>
      <c r="AK54" s="86"/>
      <c r="AL54" s="87"/>
      <c r="AM54" s="87"/>
      <c r="AN54" s="88"/>
      <c r="AY54" s="89"/>
      <c r="AZ54" s="90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2"/>
      <c r="BL54" s="88"/>
      <c r="BW54" s="89"/>
      <c r="BX54" s="96"/>
      <c r="BY54" s="97"/>
      <c r="BZ54" s="97"/>
      <c r="CA54" s="97"/>
      <c r="CB54" s="97"/>
      <c r="CC54" s="97"/>
      <c r="CD54" s="97"/>
      <c r="CE54" s="97"/>
      <c r="CF54" s="97"/>
      <c r="CG54" s="97"/>
      <c r="CH54" s="97"/>
      <c r="CI54" s="98"/>
      <c r="CJ54" s="96">
        <f t="shared" si="40"/>
        <v>0</v>
      </c>
      <c r="CK54" s="97">
        <f t="shared" si="40"/>
        <v>0</v>
      </c>
      <c r="CL54" s="97">
        <f t="shared" si="40"/>
        <v>0</v>
      </c>
      <c r="CM54" s="97">
        <f t="shared" si="40"/>
        <v>0</v>
      </c>
      <c r="CN54" s="97">
        <f t="shared" si="40"/>
        <v>0</v>
      </c>
      <c r="CO54" s="97">
        <f t="shared" si="40"/>
        <v>0</v>
      </c>
      <c r="CP54" s="97">
        <f t="shared" si="40"/>
        <v>0</v>
      </c>
      <c r="CQ54" s="97">
        <f t="shared" si="40"/>
        <v>0</v>
      </c>
      <c r="CR54" s="97">
        <f t="shared" si="40"/>
        <v>0</v>
      </c>
      <c r="CS54" s="97">
        <f t="shared" si="40"/>
        <v>0</v>
      </c>
      <c r="CT54" s="97">
        <f t="shared" si="40"/>
        <v>0</v>
      </c>
      <c r="CU54" s="98">
        <f t="shared" si="40"/>
        <v>0</v>
      </c>
      <c r="CV54" s="99">
        <f t="shared" si="24"/>
        <v>0</v>
      </c>
      <c r="CW54" s="99">
        <f t="shared" si="25"/>
        <v>0</v>
      </c>
    </row>
    <row r="55" spans="1:101" hidden="1" outlineLevel="1" x14ac:dyDescent="0.35">
      <c r="A55">
        <v>53</v>
      </c>
      <c r="B55" s="100" t="s">
        <v>127</v>
      </c>
      <c r="C55" s="101" t="s">
        <v>149</v>
      </c>
      <c r="D55" s="102">
        <v>4200</v>
      </c>
      <c r="E55" s="103" t="s">
        <v>162</v>
      </c>
      <c r="F55" s="104" t="s">
        <v>163</v>
      </c>
      <c r="G55" s="63">
        <v>0.52500000000000002</v>
      </c>
      <c r="H55" s="105" t="s">
        <v>164</v>
      </c>
      <c r="I55" s="65" t="s">
        <v>86</v>
      </c>
      <c r="J55" s="66" t="s">
        <v>86</v>
      </c>
      <c r="K55" s="106">
        <f t="shared" si="41"/>
        <v>75</v>
      </c>
      <c r="L55" s="107">
        <f t="shared" si="42"/>
        <v>118</v>
      </c>
      <c r="M55" s="107">
        <f t="shared" si="43"/>
        <v>142</v>
      </c>
      <c r="N55" s="108">
        <f t="shared" si="44"/>
        <v>158</v>
      </c>
      <c r="O55" s="109">
        <f t="shared" si="17"/>
        <v>315</v>
      </c>
      <c r="P55" s="110">
        <f t="shared" si="17"/>
        <v>495.6</v>
      </c>
      <c r="Q55" s="110">
        <f t="shared" si="17"/>
        <v>596.4</v>
      </c>
      <c r="R55" s="111">
        <f t="shared" si="17"/>
        <v>663.6</v>
      </c>
      <c r="S55" s="112">
        <f t="shared" si="18"/>
        <v>8599.5</v>
      </c>
      <c r="T55" s="110">
        <f t="shared" si="18"/>
        <v>13529.88</v>
      </c>
      <c r="U55" s="110">
        <f t="shared" si="18"/>
        <v>16281.720000000001</v>
      </c>
      <c r="V55" s="111">
        <f t="shared" si="18"/>
        <v>18116.280000000002</v>
      </c>
      <c r="W55" s="113">
        <v>4.63</v>
      </c>
      <c r="X55" s="114">
        <f t="shared" si="55"/>
        <v>1458.45</v>
      </c>
      <c r="Y55" s="115">
        <f t="shared" si="55"/>
        <v>2294.6280000000002</v>
      </c>
      <c r="Z55" s="115">
        <f t="shared" si="55"/>
        <v>2761.3319999999999</v>
      </c>
      <c r="AA55" s="116">
        <f t="shared" si="55"/>
        <v>3072.4679999999998</v>
      </c>
      <c r="AB55" s="117">
        <f t="shared" si="55"/>
        <v>39815.684999999998</v>
      </c>
      <c r="AC55" s="118">
        <f t="shared" si="55"/>
        <v>62643.344399999994</v>
      </c>
      <c r="AD55" s="118">
        <f t="shared" si="54"/>
        <v>75384.363599999997</v>
      </c>
      <c r="AE55" s="119">
        <f t="shared" si="54"/>
        <v>83878.376400000008</v>
      </c>
      <c r="AF55" s="81"/>
      <c r="AG55" s="120">
        <f t="shared" si="52"/>
        <v>0</v>
      </c>
      <c r="AH55" s="121">
        <f t="shared" si="53"/>
        <v>0</v>
      </c>
      <c r="AI55" s="122">
        <f t="shared" si="45"/>
        <v>0</v>
      </c>
      <c r="AJ55" s="123">
        <v>0.9</v>
      </c>
      <c r="AK55" s="86"/>
      <c r="AL55" s="87"/>
      <c r="AM55" s="87"/>
      <c r="AN55" s="88"/>
      <c r="AY55" s="89"/>
      <c r="AZ55" s="90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2"/>
      <c r="BL55" s="88"/>
      <c r="BW55" s="89"/>
      <c r="BX55" s="96"/>
      <c r="BY55" s="97"/>
      <c r="BZ55" s="97"/>
      <c r="CA55" s="97"/>
      <c r="CB55" s="97"/>
      <c r="CC55" s="97"/>
      <c r="CD55" s="97"/>
      <c r="CE55" s="97"/>
      <c r="CF55" s="97"/>
      <c r="CG55" s="97"/>
      <c r="CH55" s="97"/>
      <c r="CI55" s="98"/>
      <c r="CJ55" s="96">
        <f t="shared" si="40"/>
        <v>0</v>
      </c>
      <c r="CK55" s="97">
        <f t="shared" si="40"/>
        <v>0</v>
      </c>
      <c r="CL55" s="97">
        <f t="shared" si="40"/>
        <v>0</v>
      </c>
      <c r="CM55" s="97">
        <f t="shared" si="40"/>
        <v>0</v>
      </c>
      <c r="CN55" s="97">
        <f t="shared" si="40"/>
        <v>0</v>
      </c>
      <c r="CO55" s="97">
        <f t="shared" si="40"/>
        <v>0</v>
      </c>
      <c r="CP55" s="97">
        <f t="shared" si="40"/>
        <v>0</v>
      </c>
      <c r="CQ55" s="97">
        <f t="shared" si="40"/>
        <v>0</v>
      </c>
      <c r="CR55" s="97">
        <f t="shared" si="40"/>
        <v>0</v>
      </c>
      <c r="CS55" s="97">
        <f t="shared" si="40"/>
        <v>0</v>
      </c>
      <c r="CT55" s="97">
        <f t="shared" si="40"/>
        <v>0</v>
      </c>
      <c r="CU55" s="98">
        <f t="shared" si="40"/>
        <v>0</v>
      </c>
      <c r="CV55" s="99">
        <f t="shared" si="24"/>
        <v>0</v>
      </c>
      <c r="CW55" s="99">
        <f t="shared" si="25"/>
        <v>0</v>
      </c>
    </row>
    <row r="56" spans="1:101" collapsed="1" x14ac:dyDescent="0.35">
      <c r="A56">
        <v>54</v>
      </c>
      <c r="B56" s="100" t="s">
        <v>127</v>
      </c>
      <c r="C56" s="101" t="s">
        <v>165</v>
      </c>
      <c r="D56" s="125">
        <v>4800</v>
      </c>
      <c r="E56" s="103"/>
      <c r="F56" s="104" t="s">
        <v>166</v>
      </c>
      <c r="G56" s="63">
        <v>0.28999999999999998</v>
      </c>
      <c r="H56" s="105" t="s">
        <v>85</v>
      </c>
      <c r="I56" s="65" t="s">
        <v>86</v>
      </c>
      <c r="J56" s="66" t="s">
        <v>86</v>
      </c>
      <c r="K56" s="106">
        <f t="shared" si="41"/>
        <v>75</v>
      </c>
      <c r="L56" s="107">
        <f t="shared" si="42"/>
        <v>118</v>
      </c>
      <c r="M56" s="107">
        <f t="shared" si="43"/>
        <v>142</v>
      </c>
      <c r="N56" s="108">
        <f t="shared" si="44"/>
        <v>158</v>
      </c>
      <c r="O56" s="109">
        <f t="shared" si="17"/>
        <v>360</v>
      </c>
      <c r="P56" s="110">
        <f t="shared" si="17"/>
        <v>566.4</v>
      </c>
      <c r="Q56" s="110">
        <f t="shared" si="17"/>
        <v>681.6</v>
      </c>
      <c r="R56" s="111">
        <f t="shared" si="17"/>
        <v>758.4</v>
      </c>
      <c r="S56" s="112">
        <f t="shared" si="18"/>
        <v>5428.7999999999993</v>
      </c>
      <c r="T56" s="110">
        <f t="shared" si="18"/>
        <v>8541.3119999999981</v>
      </c>
      <c r="U56" s="110">
        <f t="shared" si="18"/>
        <v>10278.527999999998</v>
      </c>
      <c r="V56" s="111">
        <f t="shared" si="18"/>
        <v>11436.671999999999</v>
      </c>
      <c r="W56" s="113">
        <v>0.64</v>
      </c>
      <c r="X56" s="114">
        <f t="shared" si="55"/>
        <v>230.4</v>
      </c>
      <c r="Y56" s="115">
        <f t="shared" si="55"/>
        <v>362.49599999999998</v>
      </c>
      <c r="Z56" s="115">
        <f t="shared" si="55"/>
        <v>436.22400000000005</v>
      </c>
      <c r="AA56" s="116">
        <f t="shared" si="55"/>
        <v>485.37599999999998</v>
      </c>
      <c r="AB56" s="117">
        <f t="shared" si="55"/>
        <v>3474.4319999999998</v>
      </c>
      <c r="AC56" s="118">
        <f t="shared" si="55"/>
        <v>5466.4396799999986</v>
      </c>
      <c r="AD56" s="118">
        <f t="shared" si="55"/>
        <v>6578.2579199999991</v>
      </c>
      <c r="AE56" s="119">
        <f t="shared" si="55"/>
        <v>7319.4700799999991</v>
      </c>
      <c r="AF56" s="81" t="s">
        <v>32</v>
      </c>
      <c r="AG56" s="120">
        <f>IF(AF56="",0,HLOOKUP(AF56,$X$3:$AA$84,A56,FALSE))*52</f>
        <v>18849.791999999998</v>
      </c>
      <c r="AH56" s="121">
        <f>IF(AF56="",0,HLOOKUP(AF56,$X$3:$AA$84,A56,FALSE))*4.3</f>
        <v>1558.7327999999998</v>
      </c>
      <c r="AI56" s="122">
        <f>IF(AF56="",0,HLOOKUP(AF56,$AB$3:$AE$84,A56,FALSE))</f>
        <v>5466.4396799999986</v>
      </c>
      <c r="AJ56" s="123">
        <v>0.9</v>
      </c>
      <c r="AK56" s="86">
        <f>SUM(AN56:AY56)</f>
        <v>11613.199467100432</v>
      </c>
      <c r="AL56" s="87">
        <f>AK56/AG56</f>
        <v>0.61609165061876725</v>
      </c>
      <c r="AM56" s="87">
        <f t="shared" si="20"/>
        <v>0.68454627846529681</v>
      </c>
      <c r="AN56" s="88">
        <v>962.19899250894059</v>
      </c>
      <c r="AO56">
        <v>1008.9638952079589</v>
      </c>
      <c r="AP56">
        <v>877.56851524912622</v>
      </c>
      <c r="AQ56">
        <v>970.19122639752015</v>
      </c>
      <c r="AR56">
        <v>928.76091450419176</v>
      </c>
      <c r="AS56">
        <v>934.51891832236811</v>
      </c>
      <c r="AT56">
        <v>982.94524544236037</v>
      </c>
      <c r="AU56">
        <v>861.62910155189797</v>
      </c>
      <c r="AV56">
        <v>1089.8240690754656</v>
      </c>
      <c r="AW56">
        <v>1019.012215257044</v>
      </c>
      <c r="AX56">
        <v>1002.06269995081</v>
      </c>
      <c r="AY56" s="89">
        <v>975.52367363274948</v>
      </c>
      <c r="AZ56" s="90">
        <f t="shared" ref="AZ56:BK56" si="56">AZ$1*HLOOKUP($AF56,$X$3:$AA$84,$A56,FALSE)</f>
        <v>1812.48</v>
      </c>
      <c r="BA56" s="91">
        <f t="shared" si="56"/>
        <v>1449.9839999999999</v>
      </c>
      <c r="BB56" s="91">
        <f t="shared" si="56"/>
        <v>1449.9839999999999</v>
      </c>
      <c r="BC56" s="91">
        <f t="shared" si="56"/>
        <v>1812.48</v>
      </c>
      <c r="BD56" s="91">
        <f t="shared" si="56"/>
        <v>1449.9839999999999</v>
      </c>
      <c r="BE56" s="91">
        <f t="shared" si="56"/>
        <v>1449.9839999999999</v>
      </c>
      <c r="BF56" s="91">
        <f t="shared" si="56"/>
        <v>1812.48</v>
      </c>
      <c r="BG56" s="91">
        <f t="shared" si="56"/>
        <v>1449.9839999999999</v>
      </c>
      <c r="BH56" s="91">
        <f t="shared" si="56"/>
        <v>1449.9839999999999</v>
      </c>
      <c r="BI56" s="91">
        <f t="shared" si="56"/>
        <v>1812.48</v>
      </c>
      <c r="BJ56" s="91">
        <f t="shared" si="56"/>
        <v>1449.9839999999999</v>
      </c>
      <c r="BK56" s="92">
        <f t="shared" si="56"/>
        <v>1449.9839999999999</v>
      </c>
      <c r="BL56" s="93">
        <f t="shared" ref="BL56:BW56" si="57">AN56/AZ56</f>
        <v>0.53087426758305778</v>
      </c>
      <c r="BM56" s="94">
        <f t="shared" si="57"/>
        <v>0.69584484739690844</v>
      </c>
      <c r="BN56" s="94">
        <f t="shared" si="57"/>
        <v>0.60522634404871112</v>
      </c>
      <c r="BO56" s="94">
        <f t="shared" si="57"/>
        <v>0.5352838245925583</v>
      </c>
      <c r="BP56" s="94">
        <f t="shared" si="57"/>
        <v>0.64053183656108748</v>
      </c>
      <c r="BQ56" s="94">
        <f t="shared" si="57"/>
        <v>0.64450291749589528</v>
      </c>
      <c r="BR56" s="94">
        <f t="shared" si="57"/>
        <v>0.54232060240243218</v>
      </c>
      <c r="BS56" s="94">
        <f t="shared" si="57"/>
        <v>0.59423352364708715</v>
      </c>
      <c r="BT56" s="94">
        <f t="shared" si="57"/>
        <v>0.75161109989866481</v>
      </c>
      <c r="BU56" s="94">
        <f t="shared" si="57"/>
        <v>0.56221983980901524</v>
      </c>
      <c r="BV56" s="94">
        <f t="shared" si="57"/>
        <v>0.69108534987338488</v>
      </c>
      <c r="BW56" s="95">
        <f t="shared" si="57"/>
        <v>0.67278237113840533</v>
      </c>
      <c r="BX56" s="96">
        <f t="shared" si="22"/>
        <v>850.28100749105943</v>
      </c>
      <c r="BY56" s="97">
        <f t="shared" si="22"/>
        <v>441.02010479204102</v>
      </c>
      <c r="BZ56" s="97">
        <f t="shared" si="22"/>
        <v>572.4154847508737</v>
      </c>
      <c r="CA56" s="97">
        <f t="shared" si="22"/>
        <v>842.28877360247986</v>
      </c>
      <c r="CB56" s="97">
        <f t="shared" si="22"/>
        <v>521.22308549580816</v>
      </c>
      <c r="CC56" s="97">
        <f t="shared" si="22"/>
        <v>515.46508167763182</v>
      </c>
      <c r="CD56" s="97">
        <f t="shared" si="22"/>
        <v>829.53475455763964</v>
      </c>
      <c r="CE56" s="97">
        <f t="shared" si="22"/>
        <v>588.35489844810195</v>
      </c>
      <c r="CF56" s="97">
        <f t="shared" si="22"/>
        <v>360.15993092453436</v>
      </c>
      <c r="CG56" s="97">
        <f t="shared" si="22"/>
        <v>793.46778474295604</v>
      </c>
      <c r="CH56" s="97">
        <f t="shared" si="22"/>
        <v>447.92130004918988</v>
      </c>
      <c r="CI56" s="98">
        <f t="shared" si="22"/>
        <v>474.46032636725045</v>
      </c>
      <c r="CJ56" s="96">
        <f t="shared" si="40"/>
        <v>765.25290674195355</v>
      </c>
      <c r="CK56" s="97">
        <f t="shared" si="40"/>
        <v>396.91809431283696</v>
      </c>
      <c r="CL56" s="97">
        <f t="shared" si="40"/>
        <v>515.17393627578633</v>
      </c>
      <c r="CM56" s="97">
        <f t="shared" si="40"/>
        <v>758.05989624223184</v>
      </c>
      <c r="CN56" s="97">
        <f t="shared" si="40"/>
        <v>469.10077694622737</v>
      </c>
      <c r="CO56" s="97">
        <f t="shared" si="40"/>
        <v>463.91857350986862</v>
      </c>
      <c r="CP56" s="97">
        <f t="shared" si="40"/>
        <v>746.58127910187568</v>
      </c>
      <c r="CQ56" s="97">
        <f t="shared" si="40"/>
        <v>529.51940860329182</v>
      </c>
      <c r="CR56" s="97">
        <f t="shared" si="40"/>
        <v>324.14393783208095</v>
      </c>
      <c r="CS56" s="97">
        <f t="shared" si="40"/>
        <v>714.12100626866049</v>
      </c>
      <c r="CT56" s="97">
        <f t="shared" si="40"/>
        <v>403.12917004427089</v>
      </c>
      <c r="CU56" s="98">
        <f t="shared" si="40"/>
        <v>427.01429373052542</v>
      </c>
      <c r="CV56" s="99">
        <f t="shared" si="24"/>
        <v>16964.812800000003</v>
      </c>
      <c r="CW56" s="99">
        <f t="shared" si="25"/>
        <v>4919.7957119999992</v>
      </c>
    </row>
    <row r="57" spans="1:101" hidden="1" outlineLevel="1" x14ac:dyDescent="0.35">
      <c r="A57">
        <v>55</v>
      </c>
      <c r="B57" s="100" t="s">
        <v>127</v>
      </c>
      <c r="C57" s="101" t="s">
        <v>165</v>
      </c>
      <c r="D57" s="102">
        <v>4200</v>
      </c>
      <c r="E57" s="103" t="s">
        <v>162</v>
      </c>
      <c r="F57" s="104" t="s">
        <v>163</v>
      </c>
      <c r="G57" s="63">
        <v>0.52500000000000002</v>
      </c>
      <c r="H57" s="105" t="s">
        <v>164</v>
      </c>
      <c r="I57" s="65" t="s">
        <v>86</v>
      </c>
      <c r="J57" s="66" t="s">
        <v>86</v>
      </c>
      <c r="K57" s="106">
        <f t="shared" si="41"/>
        <v>75</v>
      </c>
      <c r="L57" s="107">
        <f t="shared" si="42"/>
        <v>118</v>
      </c>
      <c r="M57" s="107">
        <f t="shared" si="43"/>
        <v>142</v>
      </c>
      <c r="N57" s="108">
        <f t="shared" si="44"/>
        <v>158</v>
      </c>
      <c r="O57" s="109">
        <f t="shared" si="17"/>
        <v>315</v>
      </c>
      <c r="P57" s="110">
        <f t="shared" si="17"/>
        <v>495.6</v>
      </c>
      <c r="Q57" s="110">
        <f t="shared" si="17"/>
        <v>596.4</v>
      </c>
      <c r="R57" s="111">
        <f t="shared" si="17"/>
        <v>663.6</v>
      </c>
      <c r="S57" s="112">
        <f t="shared" si="18"/>
        <v>8599.5</v>
      </c>
      <c r="T57" s="110">
        <f t="shared" si="18"/>
        <v>13529.88</v>
      </c>
      <c r="U57" s="110">
        <f t="shared" si="18"/>
        <v>16281.720000000001</v>
      </c>
      <c r="V57" s="111">
        <f t="shared" si="18"/>
        <v>18116.280000000002</v>
      </c>
      <c r="W57" s="113">
        <v>0.64</v>
      </c>
      <c r="X57" s="114">
        <f t="shared" si="55"/>
        <v>201.6</v>
      </c>
      <c r="Y57" s="115">
        <f t="shared" si="55"/>
        <v>317.18400000000003</v>
      </c>
      <c r="Z57" s="115">
        <f t="shared" si="55"/>
        <v>381.69599999999997</v>
      </c>
      <c r="AA57" s="116">
        <f t="shared" si="55"/>
        <v>424.70400000000001</v>
      </c>
      <c r="AB57" s="117">
        <f t="shared" si="55"/>
        <v>5503.68</v>
      </c>
      <c r="AC57" s="118">
        <f t="shared" si="55"/>
        <v>8659.1232</v>
      </c>
      <c r="AD57" s="118">
        <f t="shared" si="55"/>
        <v>10420.300800000001</v>
      </c>
      <c r="AE57" s="119">
        <f t="shared" si="55"/>
        <v>11594.419200000002</v>
      </c>
      <c r="AF57" s="81"/>
      <c r="AG57" s="120">
        <f t="shared" ref="AG57:AG72" si="58">IF(AF57="",0,HLOOKUP(AF57,$X$3:$AA$84,A57,FALSE))*52</f>
        <v>0</v>
      </c>
      <c r="AH57" s="121">
        <f t="shared" ref="AH57:AH72" si="59">IF(AF57="",0,HLOOKUP(AF57,$X$3:$AA$84,A57,FALSE))*4.3</f>
        <v>0</v>
      </c>
      <c r="AI57" s="122">
        <f t="shared" ref="AI57:AI63" si="60">IF(AF57="",0,HLOOKUP(AF57,$AB$3:$AE$84,A57,FALSE))</f>
        <v>0</v>
      </c>
      <c r="AJ57" s="123">
        <v>0.9</v>
      </c>
      <c r="AL57" s="87"/>
      <c r="AM57" s="87"/>
      <c r="AN57" s="88"/>
      <c r="AY57" s="89"/>
      <c r="AZ57" s="90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2"/>
      <c r="BL57" s="88"/>
      <c r="BW57" s="89"/>
      <c r="BX57" s="96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CI57" s="98"/>
      <c r="CJ57" s="96">
        <f t="shared" si="40"/>
        <v>0</v>
      </c>
      <c r="CK57" s="97">
        <f t="shared" si="40"/>
        <v>0</v>
      </c>
      <c r="CL57" s="97">
        <f t="shared" si="40"/>
        <v>0</v>
      </c>
      <c r="CM57" s="97">
        <f t="shared" si="40"/>
        <v>0</v>
      </c>
      <c r="CN57" s="97">
        <f t="shared" si="40"/>
        <v>0</v>
      </c>
      <c r="CO57" s="97">
        <f t="shared" si="40"/>
        <v>0</v>
      </c>
      <c r="CP57" s="97">
        <f t="shared" si="40"/>
        <v>0</v>
      </c>
      <c r="CQ57" s="97">
        <f t="shared" si="40"/>
        <v>0</v>
      </c>
      <c r="CR57" s="97">
        <f t="shared" si="40"/>
        <v>0</v>
      </c>
      <c r="CS57" s="97">
        <f t="shared" si="40"/>
        <v>0</v>
      </c>
      <c r="CT57" s="97">
        <f t="shared" si="40"/>
        <v>0</v>
      </c>
      <c r="CU57" s="98">
        <f t="shared" si="40"/>
        <v>0</v>
      </c>
      <c r="CV57" s="99">
        <f t="shared" si="24"/>
        <v>0</v>
      </c>
      <c r="CW57" s="99">
        <f t="shared" si="25"/>
        <v>0</v>
      </c>
    </row>
    <row r="58" spans="1:101" hidden="1" outlineLevel="1" x14ac:dyDescent="0.35">
      <c r="A58">
        <v>56</v>
      </c>
      <c r="B58" s="100" t="s">
        <v>127</v>
      </c>
      <c r="C58" s="101" t="s">
        <v>165</v>
      </c>
      <c r="D58" s="102">
        <v>5400</v>
      </c>
      <c r="E58" s="103" t="s">
        <v>167</v>
      </c>
      <c r="F58" s="104" t="s">
        <v>125</v>
      </c>
      <c r="G58" s="63">
        <v>0.26</v>
      </c>
      <c r="H58" s="105" t="s">
        <v>55</v>
      </c>
      <c r="I58" s="65" t="s">
        <v>86</v>
      </c>
      <c r="J58" s="66" t="s">
        <v>86</v>
      </c>
      <c r="K58" s="106">
        <f t="shared" si="41"/>
        <v>75</v>
      </c>
      <c r="L58" s="107">
        <f t="shared" si="42"/>
        <v>118</v>
      </c>
      <c r="M58" s="107">
        <f t="shared" si="43"/>
        <v>142</v>
      </c>
      <c r="N58" s="108">
        <f t="shared" si="44"/>
        <v>158</v>
      </c>
      <c r="O58" s="109">
        <f t="shared" si="17"/>
        <v>405</v>
      </c>
      <c r="P58" s="110">
        <f t="shared" si="17"/>
        <v>637.20000000000005</v>
      </c>
      <c r="Q58" s="110">
        <f t="shared" si="17"/>
        <v>766.8</v>
      </c>
      <c r="R58" s="111">
        <f t="shared" si="17"/>
        <v>853.2</v>
      </c>
      <c r="S58" s="112">
        <f t="shared" si="18"/>
        <v>5475.5999999999995</v>
      </c>
      <c r="T58" s="110">
        <f t="shared" si="18"/>
        <v>8614.9440000000013</v>
      </c>
      <c r="U58" s="110">
        <f t="shared" si="18"/>
        <v>10367.136</v>
      </c>
      <c r="V58" s="111">
        <f t="shared" si="18"/>
        <v>11535.264000000001</v>
      </c>
      <c r="W58" s="113">
        <v>0.64</v>
      </c>
      <c r="X58" s="114">
        <f t="shared" si="55"/>
        <v>259.2</v>
      </c>
      <c r="Y58" s="115">
        <f t="shared" si="55"/>
        <v>407.80800000000005</v>
      </c>
      <c r="Z58" s="115">
        <f t="shared" si="55"/>
        <v>490.75199999999995</v>
      </c>
      <c r="AA58" s="116">
        <f t="shared" si="55"/>
        <v>546.048</v>
      </c>
      <c r="AB58" s="117">
        <f t="shared" si="55"/>
        <v>3504.3839999999996</v>
      </c>
      <c r="AC58" s="118">
        <f t="shared" si="55"/>
        <v>5513.5641600000008</v>
      </c>
      <c r="AD58" s="118">
        <f t="shared" si="55"/>
        <v>6634.9670400000005</v>
      </c>
      <c r="AE58" s="119">
        <f t="shared" si="55"/>
        <v>7382.5689600000005</v>
      </c>
      <c r="AF58" s="81"/>
      <c r="AG58" s="120">
        <f t="shared" si="58"/>
        <v>0</v>
      </c>
      <c r="AH58" s="121">
        <f t="shared" si="59"/>
        <v>0</v>
      </c>
      <c r="AI58" s="122">
        <f t="shared" si="60"/>
        <v>0</v>
      </c>
      <c r="AJ58" s="123">
        <v>0.9</v>
      </c>
      <c r="AL58" s="87"/>
      <c r="AM58" s="87"/>
      <c r="AN58" s="88"/>
      <c r="AY58" s="89"/>
      <c r="AZ58" s="90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2"/>
      <c r="BL58" s="88"/>
      <c r="BW58" s="89"/>
      <c r="BX58" s="96"/>
      <c r="BY58" s="97"/>
      <c r="BZ58" s="97"/>
      <c r="CA58" s="97"/>
      <c r="CB58" s="97"/>
      <c r="CC58" s="97"/>
      <c r="CD58" s="97"/>
      <c r="CE58" s="97"/>
      <c r="CF58" s="97"/>
      <c r="CG58" s="97"/>
      <c r="CH58" s="97"/>
      <c r="CI58" s="98"/>
      <c r="CJ58" s="96">
        <f t="shared" si="40"/>
        <v>0</v>
      </c>
      <c r="CK58" s="97">
        <f t="shared" si="40"/>
        <v>0</v>
      </c>
      <c r="CL58" s="97">
        <f t="shared" si="40"/>
        <v>0</v>
      </c>
      <c r="CM58" s="97">
        <f t="shared" si="40"/>
        <v>0</v>
      </c>
      <c r="CN58" s="97">
        <f t="shared" si="40"/>
        <v>0</v>
      </c>
      <c r="CO58" s="97">
        <f t="shared" si="40"/>
        <v>0</v>
      </c>
      <c r="CP58" s="97">
        <f t="shared" si="40"/>
        <v>0</v>
      </c>
      <c r="CQ58" s="97">
        <f t="shared" si="40"/>
        <v>0</v>
      </c>
      <c r="CR58" s="97">
        <f t="shared" si="40"/>
        <v>0</v>
      </c>
      <c r="CS58" s="97">
        <f t="shared" si="40"/>
        <v>0</v>
      </c>
      <c r="CT58" s="97">
        <f t="shared" si="40"/>
        <v>0</v>
      </c>
      <c r="CU58" s="98">
        <f t="shared" si="40"/>
        <v>0</v>
      </c>
      <c r="CV58" s="99">
        <f t="shared" si="24"/>
        <v>0</v>
      </c>
      <c r="CW58" s="99">
        <f t="shared" si="25"/>
        <v>0</v>
      </c>
    </row>
    <row r="59" spans="1:101" hidden="1" outlineLevel="1" x14ac:dyDescent="0.35">
      <c r="A59">
        <v>57</v>
      </c>
      <c r="B59" s="100" t="s">
        <v>127</v>
      </c>
      <c r="C59" s="101" t="s">
        <v>165</v>
      </c>
      <c r="D59" s="102">
        <v>4200</v>
      </c>
      <c r="E59" s="103" t="s">
        <v>168</v>
      </c>
      <c r="F59" s="104" t="s">
        <v>169</v>
      </c>
      <c r="G59" s="63"/>
      <c r="H59" s="105" t="s">
        <v>55</v>
      </c>
      <c r="I59" s="65" t="s">
        <v>86</v>
      </c>
      <c r="J59" s="66" t="s">
        <v>86</v>
      </c>
      <c r="K59" s="106">
        <f t="shared" si="41"/>
        <v>75</v>
      </c>
      <c r="L59" s="107">
        <f t="shared" si="42"/>
        <v>118</v>
      </c>
      <c r="M59" s="107">
        <f t="shared" si="43"/>
        <v>142</v>
      </c>
      <c r="N59" s="108">
        <f t="shared" si="44"/>
        <v>158</v>
      </c>
      <c r="O59" s="109">
        <f t="shared" si="17"/>
        <v>315</v>
      </c>
      <c r="P59" s="110">
        <f t="shared" si="17"/>
        <v>495.6</v>
      </c>
      <c r="Q59" s="110">
        <f t="shared" si="17"/>
        <v>596.4</v>
      </c>
      <c r="R59" s="111">
        <f t="shared" si="17"/>
        <v>663.6</v>
      </c>
      <c r="S59" s="112">
        <f t="shared" si="18"/>
        <v>0</v>
      </c>
      <c r="T59" s="110">
        <f t="shared" si="18"/>
        <v>0</v>
      </c>
      <c r="U59" s="110">
        <f t="shared" si="18"/>
        <v>0</v>
      </c>
      <c r="V59" s="111">
        <f t="shared" si="18"/>
        <v>0</v>
      </c>
      <c r="W59" s="113">
        <v>0.64</v>
      </c>
      <c r="X59" s="114">
        <f t="shared" si="55"/>
        <v>201.6</v>
      </c>
      <c r="Y59" s="115">
        <f t="shared" si="55"/>
        <v>317.18400000000003</v>
      </c>
      <c r="Z59" s="115">
        <f t="shared" si="55"/>
        <v>381.69599999999997</v>
      </c>
      <c r="AA59" s="116">
        <f t="shared" si="55"/>
        <v>424.70400000000001</v>
      </c>
      <c r="AB59" s="117">
        <f t="shared" si="55"/>
        <v>0</v>
      </c>
      <c r="AC59" s="118">
        <f t="shared" si="55"/>
        <v>0</v>
      </c>
      <c r="AD59" s="118">
        <f t="shared" si="55"/>
        <v>0</v>
      </c>
      <c r="AE59" s="119">
        <f t="shared" si="55"/>
        <v>0</v>
      </c>
      <c r="AF59" s="81"/>
      <c r="AG59" s="120">
        <f t="shared" si="58"/>
        <v>0</v>
      </c>
      <c r="AH59" s="121">
        <f t="shared" si="59"/>
        <v>0</v>
      </c>
      <c r="AI59" s="122">
        <f t="shared" si="60"/>
        <v>0</v>
      </c>
      <c r="AJ59" s="123">
        <v>0.9</v>
      </c>
      <c r="AL59" s="87"/>
      <c r="AM59" s="87"/>
      <c r="AN59" s="88"/>
      <c r="AY59" s="89"/>
      <c r="AZ59" s="90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2"/>
      <c r="BL59" s="88"/>
      <c r="BW59" s="89"/>
      <c r="BX59" s="96"/>
      <c r="BY59" s="97"/>
      <c r="BZ59" s="97"/>
      <c r="CA59" s="97"/>
      <c r="CB59" s="97"/>
      <c r="CC59" s="97"/>
      <c r="CD59" s="97"/>
      <c r="CE59" s="97"/>
      <c r="CF59" s="97"/>
      <c r="CG59" s="97"/>
      <c r="CH59" s="97"/>
      <c r="CI59" s="98"/>
      <c r="CJ59" s="96">
        <f t="shared" si="40"/>
        <v>0</v>
      </c>
      <c r="CK59" s="97">
        <f t="shared" si="40"/>
        <v>0</v>
      </c>
      <c r="CL59" s="97">
        <f t="shared" si="40"/>
        <v>0</v>
      </c>
      <c r="CM59" s="97">
        <f t="shared" si="40"/>
        <v>0</v>
      </c>
      <c r="CN59" s="97">
        <f t="shared" si="40"/>
        <v>0</v>
      </c>
      <c r="CO59" s="97">
        <f t="shared" si="40"/>
        <v>0</v>
      </c>
      <c r="CP59" s="97">
        <f t="shared" si="40"/>
        <v>0</v>
      </c>
      <c r="CQ59" s="97">
        <f t="shared" si="40"/>
        <v>0</v>
      </c>
      <c r="CR59" s="97">
        <f t="shared" si="40"/>
        <v>0</v>
      </c>
      <c r="CS59" s="97">
        <f t="shared" si="40"/>
        <v>0</v>
      </c>
      <c r="CT59" s="97">
        <f t="shared" si="40"/>
        <v>0</v>
      </c>
      <c r="CU59" s="98">
        <f t="shared" si="40"/>
        <v>0</v>
      </c>
      <c r="CV59" s="99">
        <f t="shared" si="24"/>
        <v>0</v>
      </c>
      <c r="CW59" s="99">
        <f t="shared" si="25"/>
        <v>0</v>
      </c>
    </row>
    <row r="60" spans="1:101" hidden="1" outlineLevel="1" x14ac:dyDescent="0.35">
      <c r="A60">
        <v>58</v>
      </c>
      <c r="B60" s="100" t="s">
        <v>127</v>
      </c>
      <c r="C60" s="101" t="s">
        <v>165</v>
      </c>
      <c r="D60" s="102">
        <v>4200</v>
      </c>
      <c r="E60" s="103" t="s">
        <v>170</v>
      </c>
      <c r="F60" s="104" t="s">
        <v>158</v>
      </c>
      <c r="G60" s="63"/>
      <c r="H60" s="105" t="s">
        <v>76</v>
      </c>
      <c r="I60" s="65" t="s">
        <v>86</v>
      </c>
      <c r="J60" s="66" t="s">
        <v>86</v>
      </c>
      <c r="K60" s="106">
        <f t="shared" si="41"/>
        <v>75</v>
      </c>
      <c r="L60" s="107">
        <f t="shared" si="42"/>
        <v>118</v>
      </c>
      <c r="M60" s="107">
        <f t="shared" si="43"/>
        <v>142</v>
      </c>
      <c r="N60" s="108">
        <f t="shared" si="44"/>
        <v>158</v>
      </c>
      <c r="O60" s="109">
        <f t="shared" si="17"/>
        <v>315</v>
      </c>
      <c r="P60" s="110">
        <f t="shared" si="17"/>
        <v>495.6</v>
      </c>
      <c r="Q60" s="110">
        <f t="shared" si="17"/>
        <v>596.4</v>
      </c>
      <c r="R60" s="111">
        <f t="shared" si="17"/>
        <v>663.6</v>
      </c>
      <c r="S60" s="112">
        <f t="shared" si="18"/>
        <v>0</v>
      </c>
      <c r="T60" s="110">
        <f t="shared" si="18"/>
        <v>0</v>
      </c>
      <c r="U60" s="110">
        <f t="shared" si="18"/>
        <v>0</v>
      </c>
      <c r="V60" s="111">
        <f t="shared" si="18"/>
        <v>0</v>
      </c>
      <c r="W60" s="113">
        <v>1.64</v>
      </c>
      <c r="X60" s="114">
        <f t="shared" si="55"/>
        <v>516.6</v>
      </c>
      <c r="Y60" s="115">
        <f t="shared" si="55"/>
        <v>812.78399999999999</v>
      </c>
      <c r="Z60" s="115">
        <f t="shared" si="55"/>
        <v>978.09599999999989</v>
      </c>
      <c r="AA60" s="116">
        <f t="shared" si="55"/>
        <v>1088.3039999999999</v>
      </c>
      <c r="AB60" s="117">
        <f t="shared" si="55"/>
        <v>0</v>
      </c>
      <c r="AC60" s="118">
        <f t="shared" si="55"/>
        <v>0</v>
      </c>
      <c r="AD60" s="118">
        <f t="shared" si="55"/>
        <v>0</v>
      </c>
      <c r="AE60" s="119">
        <f t="shared" si="55"/>
        <v>0</v>
      </c>
      <c r="AF60" s="81"/>
      <c r="AG60" s="120">
        <f t="shared" si="58"/>
        <v>0</v>
      </c>
      <c r="AH60" s="121">
        <f t="shared" si="59"/>
        <v>0</v>
      </c>
      <c r="AI60" s="122">
        <f t="shared" si="60"/>
        <v>0</v>
      </c>
      <c r="AJ60" s="123">
        <v>0.9</v>
      </c>
      <c r="AL60" s="87"/>
      <c r="AM60" s="87"/>
      <c r="AN60" s="88"/>
      <c r="AY60" s="89"/>
      <c r="AZ60" s="90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2"/>
      <c r="BL60" s="88"/>
      <c r="BW60" s="89"/>
      <c r="BX60" s="96"/>
      <c r="BY60" s="97"/>
      <c r="BZ60" s="97"/>
      <c r="CA60" s="97"/>
      <c r="CB60" s="97"/>
      <c r="CC60" s="97"/>
      <c r="CD60" s="97"/>
      <c r="CE60" s="97"/>
      <c r="CF60" s="97"/>
      <c r="CG60" s="97"/>
      <c r="CH60" s="97"/>
      <c r="CI60" s="98"/>
      <c r="CJ60" s="96">
        <f t="shared" si="40"/>
        <v>0</v>
      </c>
      <c r="CK60" s="97">
        <f t="shared" si="40"/>
        <v>0</v>
      </c>
      <c r="CL60" s="97">
        <f t="shared" si="40"/>
        <v>0</v>
      </c>
      <c r="CM60" s="97">
        <f t="shared" si="40"/>
        <v>0</v>
      </c>
      <c r="CN60" s="97">
        <f t="shared" si="40"/>
        <v>0</v>
      </c>
      <c r="CO60" s="97">
        <f t="shared" si="40"/>
        <v>0</v>
      </c>
      <c r="CP60" s="97">
        <f t="shared" si="40"/>
        <v>0</v>
      </c>
      <c r="CQ60" s="97">
        <f t="shared" si="40"/>
        <v>0</v>
      </c>
      <c r="CR60" s="97">
        <f t="shared" si="40"/>
        <v>0</v>
      </c>
      <c r="CS60" s="97">
        <f t="shared" si="40"/>
        <v>0</v>
      </c>
      <c r="CT60" s="97">
        <f t="shared" si="40"/>
        <v>0</v>
      </c>
      <c r="CU60" s="98">
        <f t="shared" si="40"/>
        <v>0</v>
      </c>
      <c r="CV60" s="99">
        <f t="shared" si="24"/>
        <v>0</v>
      </c>
      <c r="CW60" s="99">
        <f t="shared" si="25"/>
        <v>0</v>
      </c>
    </row>
    <row r="61" spans="1:101" hidden="1" outlineLevel="1" x14ac:dyDescent="0.35">
      <c r="A61">
        <v>59</v>
      </c>
      <c r="B61" s="100" t="s">
        <v>127</v>
      </c>
      <c r="C61" s="101" t="s">
        <v>165</v>
      </c>
      <c r="D61" s="102">
        <v>4200</v>
      </c>
      <c r="E61" s="103" t="s">
        <v>171</v>
      </c>
      <c r="F61" s="104" t="s">
        <v>160</v>
      </c>
      <c r="G61" s="63"/>
      <c r="H61" s="105" t="s">
        <v>161</v>
      </c>
      <c r="I61" s="65" t="s">
        <v>86</v>
      </c>
      <c r="J61" s="66" t="s">
        <v>86</v>
      </c>
      <c r="K61" s="106">
        <f t="shared" si="41"/>
        <v>75</v>
      </c>
      <c r="L61" s="107">
        <f t="shared" si="42"/>
        <v>118</v>
      </c>
      <c r="M61" s="107">
        <f t="shared" si="43"/>
        <v>142</v>
      </c>
      <c r="N61" s="108">
        <f t="shared" si="44"/>
        <v>158</v>
      </c>
      <c r="O61" s="109">
        <f t="shared" si="17"/>
        <v>315</v>
      </c>
      <c r="P61" s="110">
        <f t="shared" si="17"/>
        <v>495.6</v>
      </c>
      <c r="Q61" s="110">
        <f t="shared" si="17"/>
        <v>596.4</v>
      </c>
      <c r="R61" s="111">
        <f t="shared" si="17"/>
        <v>663.6</v>
      </c>
      <c r="S61" s="112">
        <f t="shared" si="18"/>
        <v>0</v>
      </c>
      <c r="T61" s="110">
        <f t="shared" si="18"/>
        <v>0</v>
      </c>
      <c r="U61" s="110">
        <f t="shared" si="18"/>
        <v>0</v>
      </c>
      <c r="V61" s="111">
        <f t="shared" si="18"/>
        <v>0</v>
      </c>
      <c r="W61" s="113">
        <v>2.64</v>
      </c>
      <c r="X61" s="114">
        <f t="shared" si="55"/>
        <v>831.6</v>
      </c>
      <c r="Y61" s="115">
        <f t="shared" si="55"/>
        <v>1308.384</v>
      </c>
      <c r="Z61" s="115">
        <f t="shared" si="55"/>
        <v>1574.4960000000001</v>
      </c>
      <c r="AA61" s="116">
        <f t="shared" si="55"/>
        <v>1751.9040000000002</v>
      </c>
      <c r="AB61" s="117">
        <f t="shared" si="55"/>
        <v>0</v>
      </c>
      <c r="AC61" s="118">
        <f t="shared" si="55"/>
        <v>0</v>
      </c>
      <c r="AD61" s="118">
        <f t="shared" si="55"/>
        <v>0</v>
      </c>
      <c r="AE61" s="119">
        <f t="shared" si="55"/>
        <v>0</v>
      </c>
      <c r="AF61" s="81"/>
      <c r="AG61" s="120">
        <f t="shared" si="58"/>
        <v>0</v>
      </c>
      <c r="AH61" s="121">
        <f t="shared" si="59"/>
        <v>0</v>
      </c>
      <c r="AI61" s="122">
        <f t="shared" si="60"/>
        <v>0</v>
      </c>
      <c r="AJ61" s="123">
        <v>0.9</v>
      </c>
      <c r="AL61" s="87"/>
      <c r="AM61" s="87"/>
      <c r="AN61" s="88"/>
      <c r="AY61" s="89"/>
      <c r="AZ61" s="90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2"/>
      <c r="BL61" s="88"/>
      <c r="BW61" s="89"/>
      <c r="BX61" s="96"/>
      <c r="BY61" s="97"/>
      <c r="BZ61" s="97"/>
      <c r="CA61" s="97"/>
      <c r="CB61" s="97"/>
      <c r="CC61" s="97"/>
      <c r="CD61" s="97"/>
      <c r="CE61" s="97"/>
      <c r="CF61" s="97"/>
      <c r="CG61" s="97"/>
      <c r="CH61" s="97"/>
      <c r="CI61" s="98"/>
      <c r="CJ61" s="96">
        <f t="shared" si="40"/>
        <v>0</v>
      </c>
      <c r="CK61" s="97">
        <f t="shared" si="40"/>
        <v>0</v>
      </c>
      <c r="CL61" s="97">
        <f t="shared" si="40"/>
        <v>0</v>
      </c>
      <c r="CM61" s="97">
        <f t="shared" ref="CM61:CU81" si="61">$AJ61*CA61</f>
        <v>0</v>
      </c>
      <c r="CN61" s="97">
        <f t="shared" si="61"/>
        <v>0</v>
      </c>
      <c r="CO61" s="97">
        <f t="shared" si="61"/>
        <v>0</v>
      </c>
      <c r="CP61" s="97">
        <f t="shared" si="61"/>
        <v>0</v>
      </c>
      <c r="CQ61" s="97">
        <f t="shared" si="61"/>
        <v>0</v>
      </c>
      <c r="CR61" s="97">
        <f t="shared" si="61"/>
        <v>0</v>
      </c>
      <c r="CS61" s="97">
        <f t="shared" si="61"/>
        <v>0</v>
      </c>
      <c r="CT61" s="97">
        <f t="shared" si="61"/>
        <v>0</v>
      </c>
      <c r="CU61" s="98">
        <f t="shared" si="61"/>
        <v>0</v>
      </c>
      <c r="CV61" s="99">
        <f t="shared" si="24"/>
        <v>0</v>
      </c>
      <c r="CW61" s="99">
        <f t="shared" si="25"/>
        <v>0</v>
      </c>
    </row>
    <row r="62" spans="1:101" hidden="1" outlineLevel="1" x14ac:dyDescent="0.35">
      <c r="A62">
        <v>60</v>
      </c>
      <c r="B62" s="100" t="s">
        <v>127</v>
      </c>
      <c r="C62" s="101" t="s">
        <v>165</v>
      </c>
      <c r="D62" s="102">
        <v>5400</v>
      </c>
      <c r="E62" s="103" t="s">
        <v>167</v>
      </c>
      <c r="F62" s="104" t="s">
        <v>160</v>
      </c>
      <c r="G62" s="63">
        <v>0.23</v>
      </c>
      <c r="H62" s="105" t="s">
        <v>76</v>
      </c>
      <c r="I62" s="65" t="s">
        <v>86</v>
      </c>
      <c r="J62" s="66" t="s">
        <v>86</v>
      </c>
      <c r="K62" s="106">
        <f t="shared" si="41"/>
        <v>75</v>
      </c>
      <c r="L62" s="107">
        <f t="shared" si="42"/>
        <v>118</v>
      </c>
      <c r="M62" s="107">
        <f t="shared" si="43"/>
        <v>142</v>
      </c>
      <c r="N62" s="108">
        <f t="shared" si="44"/>
        <v>158</v>
      </c>
      <c r="O62" s="109">
        <f t="shared" si="17"/>
        <v>405</v>
      </c>
      <c r="P62" s="110">
        <f t="shared" si="17"/>
        <v>637.20000000000005</v>
      </c>
      <c r="Q62" s="110">
        <f t="shared" si="17"/>
        <v>766.8</v>
      </c>
      <c r="R62" s="111">
        <f t="shared" si="17"/>
        <v>853.2</v>
      </c>
      <c r="S62" s="112">
        <f t="shared" si="18"/>
        <v>4843.8</v>
      </c>
      <c r="T62" s="110">
        <f t="shared" si="18"/>
        <v>7620.9120000000003</v>
      </c>
      <c r="U62" s="110">
        <f t="shared" si="18"/>
        <v>9170.9279999999999</v>
      </c>
      <c r="V62" s="111">
        <f t="shared" si="18"/>
        <v>10204.272000000001</v>
      </c>
      <c r="W62" s="113">
        <v>3.64</v>
      </c>
      <c r="X62" s="114">
        <f t="shared" si="55"/>
        <v>1474.2</v>
      </c>
      <c r="Y62" s="115">
        <f t="shared" si="55"/>
        <v>2319.4080000000004</v>
      </c>
      <c r="Z62" s="115">
        <f t="shared" si="55"/>
        <v>2791.152</v>
      </c>
      <c r="AA62" s="116">
        <f t="shared" si="55"/>
        <v>3105.6480000000001</v>
      </c>
      <c r="AB62" s="117">
        <f t="shared" si="55"/>
        <v>17631.432000000001</v>
      </c>
      <c r="AC62" s="118">
        <f t="shared" si="55"/>
        <v>27740.119680000003</v>
      </c>
      <c r="AD62" s="118">
        <f t="shared" si="55"/>
        <v>33382.177920000002</v>
      </c>
      <c r="AE62" s="119">
        <f t="shared" si="55"/>
        <v>37143.550080000001</v>
      </c>
      <c r="AF62" s="81"/>
      <c r="AG62" s="120">
        <f t="shared" si="58"/>
        <v>0</v>
      </c>
      <c r="AH62" s="121">
        <f t="shared" si="59"/>
        <v>0</v>
      </c>
      <c r="AI62" s="122">
        <f t="shared" si="60"/>
        <v>0</v>
      </c>
      <c r="AJ62" s="123">
        <v>0.9</v>
      </c>
      <c r="AL62" s="87"/>
      <c r="AM62" s="87"/>
      <c r="AN62" s="88"/>
      <c r="AY62" s="89"/>
      <c r="AZ62" s="90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2"/>
      <c r="BL62" s="88"/>
      <c r="BW62" s="89"/>
      <c r="BX62" s="96"/>
      <c r="BY62" s="97"/>
      <c r="BZ62" s="97"/>
      <c r="CA62" s="97"/>
      <c r="CB62" s="97"/>
      <c r="CC62" s="97"/>
      <c r="CD62" s="97"/>
      <c r="CE62" s="97"/>
      <c r="CF62" s="97"/>
      <c r="CG62" s="97"/>
      <c r="CH62" s="97"/>
      <c r="CI62" s="98"/>
      <c r="CJ62" s="96">
        <f t="shared" ref="CJ62:CL81" si="62">$AJ62*BX62</f>
        <v>0</v>
      </c>
      <c r="CK62" s="97">
        <f t="shared" si="62"/>
        <v>0</v>
      </c>
      <c r="CL62" s="97">
        <f t="shared" si="62"/>
        <v>0</v>
      </c>
      <c r="CM62" s="97">
        <f t="shared" si="61"/>
        <v>0</v>
      </c>
      <c r="CN62" s="97">
        <f t="shared" si="61"/>
        <v>0</v>
      </c>
      <c r="CO62" s="97">
        <f t="shared" si="61"/>
        <v>0</v>
      </c>
      <c r="CP62" s="97">
        <f t="shared" si="61"/>
        <v>0</v>
      </c>
      <c r="CQ62" s="97">
        <f t="shared" si="61"/>
        <v>0</v>
      </c>
      <c r="CR62" s="97">
        <f t="shared" si="61"/>
        <v>0</v>
      </c>
      <c r="CS62" s="97">
        <f t="shared" si="61"/>
        <v>0</v>
      </c>
      <c r="CT62" s="97">
        <f t="shared" si="61"/>
        <v>0</v>
      </c>
      <c r="CU62" s="98">
        <f t="shared" si="61"/>
        <v>0</v>
      </c>
      <c r="CV62" s="99">
        <f t="shared" si="24"/>
        <v>0</v>
      </c>
      <c r="CW62" s="99">
        <f t="shared" si="25"/>
        <v>0</v>
      </c>
    </row>
    <row r="63" spans="1:101" hidden="1" outlineLevel="1" x14ac:dyDescent="0.35">
      <c r="A63">
        <v>61</v>
      </c>
      <c r="B63" s="100" t="s">
        <v>127</v>
      </c>
      <c r="C63" s="101" t="s">
        <v>165</v>
      </c>
      <c r="D63" s="102">
        <v>4200</v>
      </c>
      <c r="E63" s="103" t="s">
        <v>171</v>
      </c>
      <c r="F63" s="104" t="s">
        <v>125</v>
      </c>
      <c r="G63" s="63">
        <v>0.38500000000000001</v>
      </c>
      <c r="H63" s="105" t="s">
        <v>76</v>
      </c>
      <c r="I63" s="65" t="s">
        <v>86</v>
      </c>
      <c r="J63" s="66" t="s">
        <v>86</v>
      </c>
      <c r="K63" s="106">
        <f t="shared" si="41"/>
        <v>75</v>
      </c>
      <c r="L63" s="107">
        <f t="shared" si="42"/>
        <v>118</v>
      </c>
      <c r="M63" s="107">
        <f t="shared" si="43"/>
        <v>142</v>
      </c>
      <c r="N63" s="108">
        <f t="shared" si="44"/>
        <v>158</v>
      </c>
      <c r="O63" s="109">
        <f t="shared" si="17"/>
        <v>315</v>
      </c>
      <c r="P63" s="110">
        <f t="shared" si="17"/>
        <v>495.6</v>
      </c>
      <c r="Q63" s="110">
        <f t="shared" si="17"/>
        <v>596.4</v>
      </c>
      <c r="R63" s="111">
        <f t="shared" si="17"/>
        <v>663.6</v>
      </c>
      <c r="S63" s="112">
        <f t="shared" si="18"/>
        <v>6306.3</v>
      </c>
      <c r="T63" s="110">
        <f t="shared" si="18"/>
        <v>9921.9120000000003</v>
      </c>
      <c r="U63" s="110">
        <f t="shared" si="18"/>
        <v>11939.928</v>
      </c>
      <c r="V63" s="111">
        <f t="shared" si="18"/>
        <v>13285.272000000001</v>
      </c>
      <c r="W63" s="113">
        <v>4.6399999999999997</v>
      </c>
      <c r="X63" s="114">
        <f t="shared" si="55"/>
        <v>1461.6</v>
      </c>
      <c r="Y63" s="115">
        <f t="shared" si="55"/>
        <v>2299.5839999999998</v>
      </c>
      <c r="Z63" s="115">
        <f t="shared" si="55"/>
        <v>2767.2959999999998</v>
      </c>
      <c r="AA63" s="116">
        <f t="shared" si="55"/>
        <v>3079.1039999999998</v>
      </c>
      <c r="AB63" s="117">
        <f t="shared" si="55"/>
        <v>29261.232</v>
      </c>
      <c r="AC63" s="118">
        <f t="shared" si="55"/>
        <v>46037.671679999999</v>
      </c>
      <c r="AD63" s="118">
        <f t="shared" si="55"/>
        <v>55401.265919999998</v>
      </c>
      <c r="AE63" s="119">
        <f t="shared" si="55"/>
        <v>61643.662080000002</v>
      </c>
      <c r="AF63" s="81"/>
      <c r="AG63" s="120">
        <f t="shared" si="58"/>
        <v>0</v>
      </c>
      <c r="AH63" s="121">
        <f t="shared" si="59"/>
        <v>0</v>
      </c>
      <c r="AI63" s="122">
        <f t="shared" si="60"/>
        <v>0</v>
      </c>
      <c r="AJ63" s="123">
        <v>0.9</v>
      </c>
      <c r="AL63" s="87"/>
      <c r="AM63" s="87"/>
      <c r="AN63" s="88"/>
      <c r="AY63" s="89"/>
      <c r="AZ63" s="90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2"/>
      <c r="BL63" s="88"/>
      <c r="BW63" s="89"/>
      <c r="BX63" s="96"/>
      <c r="BY63" s="97"/>
      <c r="BZ63" s="97"/>
      <c r="CA63" s="97"/>
      <c r="CB63" s="97"/>
      <c r="CC63" s="97"/>
      <c r="CD63" s="97"/>
      <c r="CE63" s="97"/>
      <c r="CF63" s="97"/>
      <c r="CG63" s="97"/>
      <c r="CH63" s="97"/>
      <c r="CI63" s="98"/>
      <c r="CJ63" s="96">
        <f t="shared" si="62"/>
        <v>0</v>
      </c>
      <c r="CK63" s="97">
        <f t="shared" si="62"/>
        <v>0</v>
      </c>
      <c r="CL63" s="97">
        <f t="shared" si="62"/>
        <v>0</v>
      </c>
      <c r="CM63" s="97">
        <f t="shared" si="61"/>
        <v>0</v>
      </c>
      <c r="CN63" s="97">
        <f t="shared" si="61"/>
        <v>0</v>
      </c>
      <c r="CO63" s="97">
        <f t="shared" si="61"/>
        <v>0</v>
      </c>
      <c r="CP63" s="97">
        <f t="shared" si="61"/>
        <v>0</v>
      </c>
      <c r="CQ63" s="97">
        <f t="shared" si="61"/>
        <v>0</v>
      </c>
      <c r="CR63" s="97">
        <f t="shared" si="61"/>
        <v>0</v>
      </c>
      <c r="CS63" s="97">
        <f t="shared" si="61"/>
        <v>0</v>
      </c>
      <c r="CT63" s="97">
        <f t="shared" si="61"/>
        <v>0</v>
      </c>
      <c r="CU63" s="98">
        <f t="shared" si="61"/>
        <v>0</v>
      </c>
      <c r="CV63" s="99">
        <f t="shared" si="24"/>
        <v>0</v>
      </c>
      <c r="CW63" s="99">
        <f t="shared" si="25"/>
        <v>0</v>
      </c>
    </row>
    <row r="64" spans="1:101" hidden="1" outlineLevel="1" x14ac:dyDescent="0.35">
      <c r="A64">
        <v>62</v>
      </c>
      <c r="B64" s="100" t="s">
        <v>127</v>
      </c>
      <c r="C64" s="101" t="s">
        <v>165</v>
      </c>
      <c r="D64" s="102">
        <v>5400</v>
      </c>
      <c r="E64" s="103" t="s">
        <v>167</v>
      </c>
      <c r="F64" s="104" t="s">
        <v>102</v>
      </c>
      <c r="G64" s="63">
        <v>0.26</v>
      </c>
      <c r="H64" s="105" t="s">
        <v>55</v>
      </c>
      <c r="I64" s="65" t="s">
        <v>86</v>
      </c>
      <c r="J64" s="66" t="s">
        <v>103</v>
      </c>
      <c r="K64" s="106">
        <f t="shared" si="41"/>
        <v>75</v>
      </c>
      <c r="L64" s="107">
        <f t="shared" si="42"/>
        <v>118</v>
      </c>
      <c r="M64" s="107">
        <f t="shared" si="43"/>
        <v>142</v>
      </c>
      <c r="N64" s="108">
        <f t="shared" si="44"/>
        <v>158</v>
      </c>
      <c r="O64" s="109">
        <f t="shared" si="17"/>
        <v>405</v>
      </c>
      <c r="P64" s="110">
        <f t="shared" si="17"/>
        <v>637.20000000000005</v>
      </c>
      <c r="Q64" s="110">
        <f t="shared" si="17"/>
        <v>766.8</v>
      </c>
      <c r="R64" s="111">
        <f t="shared" si="17"/>
        <v>853.2</v>
      </c>
      <c r="S64" s="112">
        <f t="shared" si="18"/>
        <v>5475.5999999999995</v>
      </c>
      <c r="T64" s="110">
        <f t="shared" si="18"/>
        <v>8614.9440000000013</v>
      </c>
      <c r="U64" s="110">
        <f t="shared" si="18"/>
        <v>10367.136</v>
      </c>
      <c r="V64" s="111">
        <f t="shared" si="18"/>
        <v>11535.264000000001</v>
      </c>
      <c r="W64" s="113">
        <v>0.64</v>
      </c>
      <c r="X64" s="114">
        <f t="shared" si="55"/>
        <v>259.2</v>
      </c>
      <c r="Y64" s="115">
        <f t="shared" si="55"/>
        <v>407.80800000000005</v>
      </c>
      <c r="Z64" s="115">
        <f t="shared" si="55"/>
        <v>490.75199999999995</v>
      </c>
      <c r="AA64" s="116">
        <f t="shared" si="55"/>
        <v>546.048</v>
      </c>
      <c r="AB64" s="117">
        <f t="shared" si="55"/>
        <v>3504.3839999999996</v>
      </c>
      <c r="AC64" s="118">
        <f t="shared" si="55"/>
        <v>5513.5641600000008</v>
      </c>
      <c r="AD64" s="118">
        <f t="shared" si="55"/>
        <v>6634.9670400000005</v>
      </c>
      <c r="AE64" s="119">
        <f t="shared" si="55"/>
        <v>7382.5689600000005</v>
      </c>
      <c r="AF64" s="81"/>
      <c r="AG64" s="120">
        <f t="shared" si="58"/>
        <v>0</v>
      </c>
      <c r="AH64" s="121">
        <f t="shared" si="59"/>
        <v>0</v>
      </c>
      <c r="AI64" s="122">
        <f>IF(AF64="",0,HLOOKUP(AF64,$AB$3:$AE$84,A64,FALSE))</f>
        <v>0</v>
      </c>
      <c r="AJ64" s="123">
        <v>0.9</v>
      </c>
      <c r="AL64" s="87"/>
      <c r="AM64" s="87"/>
      <c r="AN64" s="88"/>
      <c r="AY64" s="89"/>
      <c r="AZ64" s="90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2"/>
      <c r="BL64" s="88"/>
      <c r="BW64" s="89"/>
      <c r="BX64" s="96"/>
      <c r="BY64" s="97"/>
      <c r="BZ64" s="97"/>
      <c r="CA64" s="97"/>
      <c r="CB64" s="97"/>
      <c r="CC64" s="97"/>
      <c r="CD64" s="97"/>
      <c r="CE64" s="97"/>
      <c r="CF64" s="97"/>
      <c r="CG64" s="97"/>
      <c r="CH64" s="97"/>
      <c r="CI64" s="98"/>
      <c r="CJ64" s="96">
        <f t="shared" si="62"/>
        <v>0</v>
      </c>
      <c r="CK64" s="97">
        <f t="shared" si="62"/>
        <v>0</v>
      </c>
      <c r="CL64" s="97">
        <f t="shared" si="62"/>
        <v>0</v>
      </c>
      <c r="CM64" s="97">
        <f t="shared" si="61"/>
        <v>0</v>
      </c>
      <c r="CN64" s="97">
        <f t="shared" si="61"/>
        <v>0</v>
      </c>
      <c r="CO64" s="97">
        <f t="shared" si="61"/>
        <v>0</v>
      </c>
      <c r="CP64" s="97">
        <f t="shared" si="61"/>
        <v>0</v>
      </c>
      <c r="CQ64" s="97">
        <f t="shared" si="61"/>
        <v>0</v>
      </c>
      <c r="CR64" s="97">
        <f t="shared" si="61"/>
        <v>0</v>
      </c>
      <c r="CS64" s="97">
        <f t="shared" si="61"/>
        <v>0</v>
      </c>
      <c r="CT64" s="97">
        <f t="shared" si="61"/>
        <v>0</v>
      </c>
      <c r="CU64" s="98">
        <f t="shared" si="61"/>
        <v>0</v>
      </c>
      <c r="CV64" s="99">
        <f t="shared" si="24"/>
        <v>0</v>
      </c>
      <c r="CW64" s="99">
        <f t="shared" si="25"/>
        <v>0</v>
      </c>
    </row>
    <row r="65" spans="1:101" collapsed="1" x14ac:dyDescent="0.35">
      <c r="A65">
        <v>63</v>
      </c>
      <c r="B65" s="100" t="s">
        <v>127</v>
      </c>
      <c r="C65" s="101" t="s">
        <v>172</v>
      </c>
      <c r="D65" s="102">
        <v>5400</v>
      </c>
      <c r="E65" s="103" t="s">
        <v>173</v>
      </c>
      <c r="F65" s="104" t="s">
        <v>102</v>
      </c>
      <c r="G65" s="63">
        <v>0.26</v>
      </c>
      <c r="H65" s="105" t="s">
        <v>55</v>
      </c>
      <c r="I65" s="65" t="s">
        <v>86</v>
      </c>
      <c r="J65" s="66" t="s">
        <v>103</v>
      </c>
      <c r="K65" s="106">
        <f t="shared" si="41"/>
        <v>75</v>
      </c>
      <c r="L65" s="107">
        <f t="shared" si="42"/>
        <v>118</v>
      </c>
      <c r="M65" s="107">
        <f t="shared" si="43"/>
        <v>142</v>
      </c>
      <c r="N65" s="108">
        <f t="shared" si="44"/>
        <v>158</v>
      </c>
      <c r="O65" s="109">
        <f t="shared" si="17"/>
        <v>405</v>
      </c>
      <c r="P65" s="110">
        <f t="shared" si="17"/>
        <v>637.20000000000005</v>
      </c>
      <c r="Q65" s="110">
        <f t="shared" si="17"/>
        <v>766.8</v>
      </c>
      <c r="R65" s="111">
        <f t="shared" si="17"/>
        <v>853.2</v>
      </c>
      <c r="S65" s="112">
        <f t="shared" si="18"/>
        <v>5475.5999999999995</v>
      </c>
      <c r="T65" s="110">
        <f t="shared" si="18"/>
        <v>8614.9440000000013</v>
      </c>
      <c r="U65" s="110">
        <f t="shared" si="18"/>
        <v>10367.136</v>
      </c>
      <c r="V65" s="111">
        <f t="shared" si="18"/>
        <v>11535.264000000001</v>
      </c>
      <c r="W65" s="113">
        <v>0.72199999999999998</v>
      </c>
      <c r="X65" s="114">
        <f t="shared" si="55"/>
        <v>292.40999999999997</v>
      </c>
      <c r="Y65" s="115">
        <f t="shared" si="55"/>
        <v>460.05840000000001</v>
      </c>
      <c r="Z65" s="115">
        <f t="shared" si="55"/>
        <v>553.62959999999998</v>
      </c>
      <c r="AA65" s="116">
        <f t="shared" si="55"/>
        <v>616.0104</v>
      </c>
      <c r="AB65" s="117">
        <f t="shared" si="55"/>
        <v>3953.3831999999993</v>
      </c>
      <c r="AC65" s="118">
        <f t="shared" si="55"/>
        <v>6219.9895680000009</v>
      </c>
      <c r="AD65" s="118">
        <f t="shared" si="55"/>
        <v>7485.0721919999996</v>
      </c>
      <c r="AE65" s="119">
        <f t="shared" si="55"/>
        <v>8328.4606080000012</v>
      </c>
      <c r="AF65" s="81" t="s">
        <v>32</v>
      </c>
      <c r="AG65" s="120">
        <f t="shared" si="58"/>
        <v>23923.036800000002</v>
      </c>
      <c r="AH65" s="121">
        <f t="shared" si="59"/>
        <v>1978.2511199999999</v>
      </c>
      <c r="AI65" s="122">
        <f>IF(AF65="",0,HLOOKUP(AF65,$AB$3:$AE$84,A65,FALSE))</f>
        <v>6219.9895680000009</v>
      </c>
      <c r="AJ65" s="123">
        <v>0.9</v>
      </c>
      <c r="AK65" s="86">
        <f>SUM(AN65:AY65)</f>
        <v>14431.3498025429</v>
      </c>
      <c r="AL65" s="87">
        <f>AK65/(AG65/2)</f>
        <v>1.2064814281891585</v>
      </c>
      <c r="AM65" s="87">
        <f>AK65/(AG65*AJ65/2)</f>
        <v>1.3405349202101762</v>
      </c>
      <c r="AN65" s="88">
        <v>637.43430239100007</v>
      </c>
      <c r="AO65">
        <v>707.71363743640006</v>
      </c>
      <c r="AP65">
        <v>1110.2264215230002</v>
      </c>
      <c r="AQ65">
        <v>1489.6599926679999</v>
      </c>
      <c r="AR65">
        <v>1432.4077604279998</v>
      </c>
      <c r="AS65">
        <v>1181.6166259059999</v>
      </c>
      <c r="AT65">
        <v>1182.661168397</v>
      </c>
      <c r="AU65">
        <v>1092.0968364839998</v>
      </c>
      <c r="AV65">
        <v>2025.0614201290002</v>
      </c>
      <c r="AW65">
        <v>1243.0640370900001</v>
      </c>
      <c r="AX65">
        <v>1184.1723757849998</v>
      </c>
      <c r="AY65" s="89">
        <v>1145.2352243054995</v>
      </c>
      <c r="AZ65" s="90">
        <f t="shared" ref="AZ65:BK65" si="63">AZ$1*HLOOKUP($AF65,$X$3:$AA$84,$A65,FALSE)</f>
        <v>2300.2919999999999</v>
      </c>
      <c r="BA65" s="91">
        <f t="shared" si="63"/>
        <v>1840.2336</v>
      </c>
      <c r="BB65" s="91">
        <f t="shared" si="63"/>
        <v>1840.2336</v>
      </c>
      <c r="BC65" s="91">
        <f t="shared" si="63"/>
        <v>2300.2919999999999</v>
      </c>
      <c r="BD65" s="91">
        <f t="shared" si="63"/>
        <v>1840.2336</v>
      </c>
      <c r="BE65" s="91">
        <f t="shared" si="63"/>
        <v>1840.2336</v>
      </c>
      <c r="BF65" s="91">
        <f t="shared" si="63"/>
        <v>2300.2919999999999</v>
      </c>
      <c r="BG65" s="91">
        <f t="shared" si="63"/>
        <v>1840.2336</v>
      </c>
      <c r="BH65" s="91">
        <f t="shared" si="63"/>
        <v>1840.2336</v>
      </c>
      <c r="BI65" s="91">
        <f t="shared" si="63"/>
        <v>2300.2919999999999</v>
      </c>
      <c r="BJ65" s="91">
        <f t="shared" si="63"/>
        <v>1840.2336</v>
      </c>
      <c r="BK65" s="92">
        <f t="shared" si="63"/>
        <v>1840.2336</v>
      </c>
      <c r="BL65" s="93">
        <f t="shared" ref="BL65:BW65" si="64">AN65/AZ65</f>
        <v>0.27711016792259424</v>
      </c>
      <c r="BM65" s="94">
        <f t="shared" si="64"/>
        <v>0.38457815216307323</v>
      </c>
      <c r="BN65" s="94">
        <f t="shared" si="64"/>
        <v>0.60330733094048505</v>
      </c>
      <c r="BO65" s="94">
        <f t="shared" si="64"/>
        <v>0.64759604114086378</v>
      </c>
      <c r="BP65" s="94">
        <f t="shared" si="64"/>
        <v>0.77838365761172923</v>
      </c>
      <c r="BQ65" s="94">
        <f t="shared" si="64"/>
        <v>0.64210142989781294</v>
      </c>
      <c r="BR65" s="94">
        <f t="shared" si="64"/>
        <v>0.51413523517753401</v>
      </c>
      <c r="BS65" s="94">
        <f t="shared" si="64"/>
        <v>0.59345554634150788</v>
      </c>
      <c r="BT65" s="94">
        <f t="shared" si="64"/>
        <v>1.1004371510926658</v>
      </c>
      <c r="BU65" s="94">
        <f t="shared" si="64"/>
        <v>0.54039401827681011</v>
      </c>
      <c r="BV65" s="94">
        <f t="shared" si="64"/>
        <v>0.64349024807774391</v>
      </c>
      <c r="BW65" s="95">
        <f t="shared" si="64"/>
        <v>0.6223314389572604</v>
      </c>
      <c r="BX65" s="96">
        <f t="shared" si="22"/>
        <v>1662.8576976089998</v>
      </c>
      <c r="BY65" s="97">
        <f t="shared" si="22"/>
        <v>1132.5199625636001</v>
      </c>
      <c r="BZ65" s="97">
        <f t="shared" si="22"/>
        <v>730.0071784769998</v>
      </c>
      <c r="CA65" s="97">
        <f t="shared" si="22"/>
        <v>810.63200733200006</v>
      </c>
      <c r="CB65" s="97">
        <f t="shared" si="22"/>
        <v>407.82583957200018</v>
      </c>
      <c r="CC65" s="97">
        <f t="shared" si="22"/>
        <v>658.61697409400017</v>
      </c>
      <c r="CD65" s="97">
        <f t="shared" si="22"/>
        <v>1117.6308316029999</v>
      </c>
      <c r="CE65" s="97">
        <f t="shared" si="22"/>
        <v>748.1367635160002</v>
      </c>
      <c r="CF65" s="97">
        <f t="shared" si="22"/>
        <v>-184.8278201290002</v>
      </c>
      <c r="CG65" s="97">
        <f t="shared" si="22"/>
        <v>1057.2279629099999</v>
      </c>
      <c r="CH65" s="97">
        <f t="shared" si="22"/>
        <v>656.06122421500027</v>
      </c>
      <c r="CI65" s="98">
        <f t="shared" si="22"/>
        <v>694.99837569450051</v>
      </c>
      <c r="CJ65" s="96">
        <f t="shared" si="62"/>
        <v>1496.5719278480999</v>
      </c>
      <c r="CK65" s="97">
        <f t="shared" si="62"/>
        <v>1019.26796630724</v>
      </c>
      <c r="CL65" s="97">
        <f t="shared" si="62"/>
        <v>657.0064606292998</v>
      </c>
      <c r="CM65" s="97">
        <f t="shared" si="61"/>
        <v>729.56880659880005</v>
      </c>
      <c r="CN65" s="97">
        <f t="shared" si="61"/>
        <v>367.04325561480016</v>
      </c>
      <c r="CO65" s="97">
        <f t="shared" si="61"/>
        <v>592.75527668460018</v>
      </c>
      <c r="CP65" s="97">
        <f t="shared" si="61"/>
        <v>1005.8677484427</v>
      </c>
      <c r="CQ65" s="97">
        <f t="shared" si="61"/>
        <v>673.32308716440025</v>
      </c>
      <c r="CR65" s="97">
        <f t="shared" si="61"/>
        <v>-166.3450381161002</v>
      </c>
      <c r="CS65" s="97">
        <f t="shared" si="61"/>
        <v>951.50516661899985</v>
      </c>
      <c r="CT65" s="97">
        <f t="shared" si="61"/>
        <v>590.45510179350026</v>
      </c>
      <c r="CU65" s="98">
        <f t="shared" si="61"/>
        <v>625.49853812505046</v>
      </c>
      <c r="CV65" s="99">
        <f t="shared" si="24"/>
        <v>21530.733119999997</v>
      </c>
      <c r="CW65" s="99">
        <f t="shared" si="25"/>
        <v>5597.9906112000008</v>
      </c>
    </row>
    <row r="66" spans="1:101" x14ac:dyDescent="0.35">
      <c r="A66" s="263">
        <v>64</v>
      </c>
      <c r="B66" s="152" t="s">
        <v>127</v>
      </c>
      <c r="C66" s="153" t="s">
        <v>174</v>
      </c>
      <c r="D66" s="154"/>
      <c r="E66" s="155"/>
      <c r="F66" s="156"/>
      <c r="G66" s="157"/>
      <c r="H66" s="158"/>
      <c r="I66" s="159"/>
      <c r="J66" s="160"/>
      <c r="K66" s="138"/>
      <c r="L66" s="139"/>
      <c r="M66" s="139"/>
      <c r="N66" s="140"/>
      <c r="O66" s="141"/>
      <c r="P66" s="142"/>
      <c r="Q66" s="142"/>
      <c r="R66" s="143"/>
      <c r="S66" s="144"/>
      <c r="T66" s="142"/>
      <c r="U66" s="142"/>
      <c r="V66" s="143"/>
      <c r="W66" s="145"/>
      <c r="X66" s="144"/>
      <c r="Y66" s="142"/>
      <c r="Z66" s="142"/>
      <c r="AA66" s="143"/>
      <c r="AB66" s="146"/>
      <c r="AC66" s="147"/>
      <c r="AD66" s="147"/>
      <c r="AE66" s="148"/>
      <c r="AF66" s="81"/>
      <c r="AG66" s="149">
        <f t="shared" si="58"/>
        <v>0</v>
      </c>
      <c r="AH66" s="150">
        <f t="shared" si="59"/>
        <v>0</v>
      </c>
      <c r="AI66" s="151"/>
      <c r="AJ66" s="161"/>
      <c r="AL66" s="87"/>
      <c r="AM66" s="87"/>
      <c r="AN66" s="88"/>
      <c r="AY66" s="89"/>
      <c r="AZ66" s="90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2"/>
      <c r="BL66" s="88"/>
      <c r="BW66" s="89"/>
      <c r="BX66" s="96"/>
      <c r="BY66" s="97"/>
      <c r="BZ66" s="97"/>
      <c r="CA66" s="97"/>
      <c r="CB66" s="97"/>
      <c r="CC66" s="97"/>
      <c r="CD66" s="97"/>
      <c r="CE66" s="97"/>
      <c r="CF66" s="97"/>
      <c r="CG66" s="97"/>
      <c r="CH66" s="97"/>
      <c r="CI66" s="98"/>
      <c r="CJ66" s="96">
        <f t="shared" si="62"/>
        <v>0</v>
      </c>
      <c r="CK66" s="97">
        <f t="shared" si="62"/>
        <v>0</v>
      </c>
      <c r="CL66" s="97">
        <f t="shared" si="62"/>
        <v>0</v>
      </c>
      <c r="CM66" s="97">
        <f t="shared" si="61"/>
        <v>0</v>
      </c>
      <c r="CN66" s="97">
        <f t="shared" si="61"/>
        <v>0</v>
      </c>
      <c r="CO66" s="97">
        <f t="shared" si="61"/>
        <v>0</v>
      </c>
      <c r="CP66" s="97">
        <f t="shared" si="61"/>
        <v>0</v>
      </c>
      <c r="CQ66" s="97">
        <f t="shared" si="61"/>
        <v>0</v>
      </c>
      <c r="CR66" s="97">
        <f t="shared" si="61"/>
        <v>0</v>
      </c>
      <c r="CS66" s="97">
        <f t="shared" si="61"/>
        <v>0</v>
      </c>
      <c r="CT66" s="97">
        <f t="shared" si="61"/>
        <v>0</v>
      </c>
      <c r="CU66" s="98">
        <f t="shared" si="61"/>
        <v>0</v>
      </c>
      <c r="CV66" s="99">
        <f t="shared" si="24"/>
        <v>0</v>
      </c>
      <c r="CW66" s="99">
        <f t="shared" si="25"/>
        <v>0</v>
      </c>
    </row>
    <row r="67" spans="1:101" x14ac:dyDescent="0.35">
      <c r="A67">
        <v>65</v>
      </c>
      <c r="B67" s="100" t="s">
        <v>127</v>
      </c>
      <c r="C67" s="101" t="s">
        <v>175</v>
      </c>
      <c r="D67" s="102">
        <v>4500</v>
      </c>
      <c r="E67" s="103" t="s">
        <v>176</v>
      </c>
      <c r="F67" s="104" t="s">
        <v>177</v>
      </c>
      <c r="G67" s="63">
        <v>0.38</v>
      </c>
      <c r="H67" s="105" t="s">
        <v>68</v>
      </c>
      <c r="I67" s="65" t="s">
        <v>86</v>
      </c>
      <c r="J67" s="66" t="s">
        <v>178</v>
      </c>
      <c r="K67" s="106">
        <f>(8*10)-5</f>
        <v>75</v>
      </c>
      <c r="L67" s="107">
        <f>(15*8)-2</f>
        <v>118</v>
      </c>
      <c r="M67" s="107">
        <f>(15*8+2*12)-2</f>
        <v>142</v>
      </c>
      <c r="N67" s="108">
        <f>(15*8+4*12-8)-2</f>
        <v>158</v>
      </c>
      <c r="O67" s="109">
        <f t="shared" si="17"/>
        <v>337.5</v>
      </c>
      <c r="P67" s="110">
        <f t="shared" si="17"/>
        <v>531</v>
      </c>
      <c r="Q67" s="110">
        <f t="shared" si="17"/>
        <v>639</v>
      </c>
      <c r="R67" s="111">
        <f t="shared" si="17"/>
        <v>711</v>
      </c>
      <c r="S67" s="112">
        <f t="shared" si="18"/>
        <v>6669</v>
      </c>
      <c r="T67" s="110">
        <f t="shared" si="18"/>
        <v>10492.56</v>
      </c>
      <c r="U67" s="110">
        <f t="shared" si="18"/>
        <v>12626.64</v>
      </c>
      <c r="V67" s="111">
        <f t="shared" si="18"/>
        <v>14049.36</v>
      </c>
      <c r="W67" s="113">
        <v>0.75</v>
      </c>
      <c r="X67" s="114">
        <f t="shared" si="55"/>
        <v>253.125</v>
      </c>
      <c r="Y67" s="115">
        <f t="shared" si="55"/>
        <v>398.25</v>
      </c>
      <c r="Z67" s="115">
        <f t="shared" si="55"/>
        <v>479.25</v>
      </c>
      <c r="AA67" s="116">
        <f t="shared" si="55"/>
        <v>533.25</v>
      </c>
      <c r="AB67" s="117">
        <f t="shared" si="55"/>
        <v>5001.75</v>
      </c>
      <c r="AC67" s="118">
        <f t="shared" si="55"/>
        <v>7869.42</v>
      </c>
      <c r="AD67" s="118">
        <f t="shared" si="55"/>
        <v>9469.98</v>
      </c>
      <c r="AE67" s="119">
        <f t="shared" si="55"/>
        <v>10537.02</v>
      </c>
      <c r="AF67" s="81" t="s">
        <v>32</v>
      </c>
      <c r="AG67" s="120">
        <f t="shared" si="58"/>
        <v>20709</v>
      </c>
      <c r="AH67" s="121">
        <f t="shared" si="59"/>
        <v>1712.4749999999999</v>
      </c>
      <c r="AI67" s="122">
        <f>IF(AF67="",0,HLOOKUP(AF67,$AB$3:$AE$84,A67,FALSE))</f>
        <v>7869.42</v>
      </c>
      <c r="AJ67" s="123">
        <v>0.9</v>
      </c>
      <c r="AK67" s="86">
        <f>SUM(AN67:AY67)</f>
        <v>5487.2481332946199</v>
      </c>
      <c r="AL67" s="87">
        <f>AK67/AG67</f>
        <v>0.26496924686342266</v>
      </c>
      <c r="AM67" s="87">
        <f t="shared" si="20"/>
        <v>0.29441027429269179</v>
      </c>
      <c r="AN67" s="88">
        <v>362.42790180855707</v>
      </c>
      <c r="AO67">
        <v>371.8103161177051</v>
      </c>
      <c r="AP67">
        <v>381.13428261116405</v>
      </c>
      <c r="AQ67">
        <v>422.40986534977509</v>
      </c>
      <c r="AR67">
        <v>402.41787362750193</v>
      </c>
      <c r="AS67">
        <v>376.99347155349477</v>
      </c>
      <c r="AT67">
        <v>467.49599723843409</v>
      </c>
      <c r="AU67">
        <v>474.44699325926393</v>
      </c>
      <c r="AV67">
        <v>604.89578587704045</v>
      </c>
      <c r="AW67">
        <v>584.80299094848169</v>
      </c>
      <c r="AX67">
        <v>539.05541196336992</v>
      </c>
      <c r="AY67" s="89">
        <v>499.35724293983225</v>
      </c>
      <c r="AZ67" s="90">
        <f t="shared" ref="AZ67:BK67" si="65">AZ$1*HLOOKUP($AF67,$X$3:$AA$84,$A67,FALSE)</f>
        <v>1991.25</v>
      </c>
      <c r="BA67" s="91">
        <f t="shared" si="65"/>
        <v>1593</v>
      </c>
      <c r="BB67" s="91">
        <f t="shared" si="65"/>
        <v>1593</v>
      </c>
      <c r="BC67" s="91">
        <f t="shared" si="65"/>
        <v>1991.25</v>
      </c>
      <c r="BD67" s="91">
        <f t="shared" si="65"/>
        <v>1593</v>
      </c>
      <c r="BE67" s="91">
        <f t="shared" si="65"/>
        <v>1593</v>
      </c>
      <c r="BF67" s="91">
        <f t="shared" si="65"/>
        <v>1991.25</v>
      </c>
      <c r="BG67" s="91">
        <f t="shared" si="65"/>
        <v>1593</v>
      </c>
      <c r="BH67" s="91">
        <f t="shared" si="65"/>
        <v>1593</v>
      </c>
      <c r="BI67" s="91">
        <f t="shared" si="65"/>
        <v>1991.25</v>
      </c>
      <c r="BJ67" s="91">
        <f t="shared" si="65"/>
        <v>1593</v>
      </c>
      <c r="BK67" s="92">
        <f t="shared" si="65"/>
        <v>1593</v>
      </c>
      <c r="BL67" s="93">
        <f t="shared" ref="BL67:BW67" si="66">AN67/AZ67</f>
        <v>0.18201024572934441</v>
      </c>
      <c r="BM67" s="94">
        <f t="shared" si="66"/>
        <v>0.23340258387803209</v>
      </c>
      <c r="BN67" s="94">
        <f t="shared" si="66"/>
        <v>0.23925567018905464</v>
      </c>
      <c r="BO67" s="94">
        <f t="shared" si="66"/>
        <v>0.21213301461382303</v>
      </c>
      <c r="BP67" s="94">
        <f t="shared" si="66"/>
        <v>0.25261636762555051</v>
      </c>
      <c r="BQ67" s="94">
        <f t="shared" si="66"/>
        <v>0.23665629099403312</v>
      </c>
      <c r="BR67" s="94">
        <f t="shared" si="66"/>
        <v>0.23477513985608742</v>
      </c>
      <c r="BS67" s="94">
        <f t="shared" si="66"/>
        <v>0.29783238748227492</v>
      </c>
      <c r="BT67" s="94">
        <f t="shared" si="66"/>
        <v>0.37972114618772157</v>
      </c>
      <c r="BU67" s="94">
        <f t="shared" si="66"/>
        <v>0.29368637335768072</v>
      </c>
      <c r="BV67" s="94">
        <f t="shared" si="66"/>
        <v>0.33839008911699303</v>
      </c>
      <c r="BW67" s="95">
        <f t="shared" si="66"/>
        <v>0.31346970680466557</v>
      </c>
      <c r="BX67" s="96">
        <f t="shared" si="22"/>
        <v>1628.8220981914428</v>
      </c>
      <c r="BY67" s="97">
        <f t="shared" si="22"/>
        <v>1221.189683882295</v>
      </c>
      <c r="BZ67" s="97">
        <f t="shared" si="22"/>
        <v>1211.8657173888359</v>
      </c>
      <c r="CA67" s="97">
        <f t="shared" si="22"/>
        <v>1568.8401346502249</v>
      </c>
      <c r="CB67" s="97">
        <f t="shared" si="22"/>
        <v>1190.5821263724981</v>
      </c>
      <c r="CC67" s="97">
        <f t="shared" si="22"/>
        <v>1216.0065284465052</v>
      </c>
      <c r="CD67" s="97">
        <f t="shared" si="22"/>
        <v>1523.754002761566</v>
      </c>
      <c r="CE67" s="97">
        <f t="shared" si="22"/>
        <v>1118.553006740736</v>
      </c>
      <c r="CF67" s="97">
        <f t="shared" si="22"/>
        <v>988.10421412295955</v>
      </c>
      <c r="CG67" s="97">
        <f t="shared" si="22"/>
        <v>1406.4470090515183</v>
      </c>
      <c r="CH67" s="97">
        <f t="shared" si="22"/>
        <v>1053.9445880366302</v>
      </c>
      <c r="CI67" s="98">
        <f t="shared" si="22"/>
        <v>1093.6427570601677</v>
      </c>
      <c r="CJ67" s="96">
        <f t="shared" si="62"/>
        <v>1465.9398883722986</v>
      </c>
      <c r="CK67" s="97">
        <f t="shared" si="62"/>
        <v>1099.0707154940656</v>
      </c>
      <c r="CL67" s="97">
        <f t="shared" si="62"/>
        <v>1090.6791456499525</v>
      </c>
      <c r="CM67" s="97">
        <f t="shared" si="61"/>
        <v>1411.9561211852024</v>
      </c>
      <c r="CN67" s="97">
        <f t="shared" si="61"/>
        <v>1071.5239137352482</v>
      </c>
      <c r="CO67" s="97">
        <f t="shared" si="61"/>
        <v>1094.4058756018546</v>
      </c>
      <c r="CP67" s="97">
        <f t="shared" si="61"/>
        <v>1371.3786024854094</v>
      </c>
      <c r="CQ67" s="97">
        <f t="shared" si="61"/>
        <v>1006.6977060666625</v>
      </c>
      <c r="CR67" s="97">
        <f t="shared" si="61"/>
        <v>889.29379271066364</v>
      </c>
      <c r="CS67" s="97">
        <f t="shared" si="61"/>
        <v>1265.8023081463666</v>
      </c>
      <c r="CT67" s="97">
        <f t="shared" si="61"/>
        <v>948.55012923296715</v>
      </c>
      <c r="CU67" s="98">
        <f t="shared" si="61"/>
        <v>984.27848135415093</v>
      </c>
      <c r="CV67" s="99">
        <f t="shared" si="24"/>
        <v>18638.100000000002</v>
      </c>
      <c r="CW67" s="99">
        <f t="shared" si="25"/>
        <v>7082.4780000000001</v>
      </c>
    </row>
    <row r="68" spans="1:101" x14ac:dyDescent="0.35">
      <c r="A68">
        <v>66</v>
      </c>
      <c r="B68" s="129" t="s">
        <v>127</v>
      </c>
      <c r="C68" s="130" t="s">
        <v>179</v>
      </c>
      <c r="D68" s="131"/>
      <c r="E68" s="132"/>
      <c r="F68" s="133"/>
      <c r="G68" s="134"/>
      <c r="H68" s="135"/>
      <c r="I68" s="136"/>
      <c r="J68" s="137"/>
      <c r="K68" s="138"/>
      <c r="L68" s="139"/>
      <c r="M68" s="139"/>
      <c r="N68" s="140"/>
      <c r="O68" s="141"/>
      <c r="P68" s="142"/>
      <c r="Q68" s="142"/>
      <c r="R68" s="143"/>
      <c r="S68" s="144"/>
      <c r="T68" s="142"/>
      <c r="U68" s="142"/>
      <c r="V68" s="143"/>
      <c r="W68" s="145"/>
      <c r="X68" s="144"/>
      <c r="Y68" s="142"/>
      <c r="Z68" s="142"/>
      <c r="AA68" s="143"/>
      <c r="AB68" s="146"/>
      <c r="AC68" s="147"/>
      <c r="AD68" s="147"/>
      <c r="AE68" s="148"/>
      <c r="AF68" s="81"/>
      <c r="AG68" s="149">
        <f t="shared" si="58"/>
        <v>0</v>
      </c>
      <c r="AH68" s="150">
        <f t="shared" si="59"/>
        <v>0</v>
      </c>
      <c r="AI68" s="151"/>
      <c r="AJ68" s="161"/>
      <c r="AL68" s="87"/>
      <c r="AM68" s="87"/>
      <c r="AN68" s="88"/>
      <c r="AY68" s="89"/>
      <c r="AZ68" s="90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2"/>
      <c r="BL68" s="88"/>
      <c r="BW68" s="89"/>
      <c r="BX68" s="96"/>
      <c r="BY68" s="97"/>
      <c r="BZ68" s="97"/>
      <c r="CA68" s="97"/>
      <c r="CB68" s="97"/>
      <c r="CC68" s="97"/>
      <c r="CD68" s="97"/>
      <c r="CE68" s="97"/>
      <c r="CF68" s="97"/>
      <c r="CG68" s="97"/>
      <c r="CH68" s="97"/>
      <c r="CI68" s="98"/>
      <c r="CJ68" s="96">
        <f t="shared" si="62"/>
        <v>0</v>
      </c>
      <c r="CK68" s="97">
        <f t="shared" si="62"/>
        <v>0</v>
      </c>
      <c r="CL68" s="97">
        <f t="shared" si="62"/>
        <v>0</v>
      </c>
      <c r="CM68" s="97">
        <f t="shared" si="61"/>
        <v>0</v>
      </c>
      <c r="CN68" s="97">
        <f t="shared" si="61"/>
        <v>0</v>
      </c>
      <c r="CO68" s="97">
        <f t="shared" si="61"/>
        <v>0</v>
      </c>
      <c r="CP68" s="97">
        <f t="shared" si="61"/>
        <v>0</v>
      </c>
      <c r="CQ68" s="97">
        <f t="shared" si="61"/>
        <v>0</v>
      </c>
      <c r="CR68" s="97">
        <f t="shared" si="61"/>
        <v>0</v>
      </c>
      <c r="CS68" s="97">
        <f t="shared" si="61"/>
        <v>0</v>
      </c>
      <c r="CT68" s="97">
        <f t="shared" si="61"/>
        <v>0</v>
      </c>
      <c r="CU68" s="98">
        <f t="shared" si="61"/>
        <v>0</v>
      </c>
      <c r="CV68" s="99">
        <f t="shared" si="24"/>
        <v>0</v>
      </c>
      <c r="CW68" s="99">
        <f t="shared" si="25"/>
        <v>0</v>
      </c>
    </row>
    <row r="69" spans="1:101" x14ac:dyDescent="0.35">
      <c r="A69">
        <v>67</v>
      </c>
      <c r="B69" s="100" t="s">
        <v>127</v>
      </c>
      <c r="C69" s="101" t="s">
        <v>180</v>
      </c>
      <c r="D69" s="125">
        <v>10500</v>
      </c>
      <c r="E69" s="103"/>
      <c r="F69" s="104" t="s">
        <v>181</v>
      </c>
      <c r="G69" s="63">
        <v>0.3</v>
      </c>
      <c r="H69" s="105" t="s">
        <v>182</v>
      </c>
      <c r="I69" s="65" t="s">
        <v>183</v>
      </c>
      <c r="J69" s="66" t="s">
        <v>183</v>
      </c>
      <c r="K69" s="106">
        <f t="shared" ref="K69:K94" si="67">(8*10)-5</f>
        <v>75</v>
      </c>
      <c r="L69" s="107">
        <f t="shared" ref="L69:L94" si="68">(15*8-8)-2</f>
        <v>110</v>
      </c>
      <c r="M69" s="107">
        <f t="shared" ref="M69:M94" si="69">(15*8+2*12-8)-2</f>
        <v>134</v>
      </c>
      <c r="N69" s="108">
        <f t="shared" ref="N69:N94" si="70">(15*8+4*12-2*8)-2</f>
        <v>150</v>
      </c>
      <c r="O69" s="109">
        <f t="shared" si="17"/>
        <v>787.5</v>
      </c>
      <c r="P69" s="110">
        <f t="shared" si="17"/>
        <v>1155</v>
      </c>
      <c r="Q69" s="110">
        <f t="shared" si="17"/>
        <v>1407</v>
      </c>
      <c r="R69" s="111">
        <f t="shared" si="17"/>
        <v>1575</v>
      </c>
      <c r="S69" s="112">
        <f t="shared" si="18"/>
        <v>12285</v>
      </c>
      <c r="T69" s="110">
        <f t="shared" si="18"/>
        <v>18018</v>
      </c>
      <c r="U69" s="110">
        <f t="shared" si="18"/>
        <v>21949.199999999997</v>
      </c>
      <c r="V69" s="111">
        <f t="shared" si="18"/>
        <v>24570</v>
      </c>
      <c r="W69" s="113">
        <v>0.6</v>
      </c>
      <c r="X69" s="114">
        <f t="shared" si="55"/>
        <v>472.5</v>
      </c>
      <c r="Y69" s="115">
        <f t="shared" si="55"/>
        <v>693</v>
      </c>
      <c r="Z69" s="115">
        <f t="shared" si="55"/>
        <v>844.19999999999993</v>
      </c>
      <c r="AA69" s="116">
        <f t="shared" si="55"/>
        <v>945</v>
      </c>
      <c r="AB69" s="117">
        <f t="shared" si="55"/>
        <v>7371</v>
      </c>
      <c r="AC69" s="118">
        <f t="shared" si="55"/>
        <v>10810.8</v>
      </c>
      <c r="AD69" s="118">
        <f t="shared" si="55"/>
        <v>13169.519999999999</v>
      </c>
      <c r="AE69" s="119">
        <f t="shared" si="55"/>
        <v>14742</v>
      </c>
      <c r="AF69" s="81" t="s">
        <v>32</v>
      </c>
      <c r="AG69" s="120">
        <f t="shared" si="58"/>
        <v>36036</v>
      </c>
      <c r="AH69" s="121">
        <f t="shared" si="59"/>
        <v>2979.9</v>
      </c>
      <c r="AI69" s="122">
        <f>IF(AF69="",0,HLOOKUP(AF69,$AB$3:$AE$84,A69,FALSE))</f>
        <v>10810.8</v>
      </c>
      <c r="AJ69" s="123">
        <v>0.75</v>
      </c>
      <c r="AK69" s="86">
        <f>SUM(AN69:AY69)</f>
        <v>19898.030742786505</v>
      </c>
      <c r="AL69" s="87">
        <f>AK69/AG69</f>
        <v>0.55217090528323076</v>
      </c>
      <c r="AM69" s="87">
        <f t="shared" ref="AM69:AM89" si="71">AK69/(AG69*AJ69)</f>
        <v>0.73622787371097442</v>
      </c>
      <c r="AN69" s="88">
        <v>1437.816034040304</v>
      </c>
      <c r="AO69">
        <v>1393.8262942590602</v>
      </c>
      <c r="AP69">
        <v>1504.2719359402361</v>
      </c>
      <c r="AQ69">
        <v>1712.8806599702953</v>
      </c>
      <c r="AR69">
        <v>2106.9040160525078</v>
      </c>
      <c r="AS69">
        <v>2062.0665200693361</v>
      </c>
      <c r="AT69">
        <v>1541.0793945623129</v>
      </c>
      <c r="AU69">
        <v>1683.9522544859212</v>
      </c>
      <c r="AV69">
        <v>1789.3455530461524</v>
      </c>
      <c r="AW69">
        <v>1474.4301983497026</v>
      </c>
      <c r="AX69">
        <v>1648.9921593750939</v>
      </c>
      <c r="AY69" s="89">
        <v>1542.465722635581</v>
      </c>
      <c r="AZ69" s="90">
        <f t="shared" ref="AZ69:BK69" si="72">AZ$1*HLOOKUP($AF69,$X$3:$AA$84,$A69,FALSE)</f>
        <v>3465</v>
      </c>
      <c r="BA69" s="91">
        <f t="shared" si="72"/>
        <v>2772</v>
      </c>
      <c r="BB69" s="91">
        <f t="shared" si="72"/>
        <v>2772</v>
      </c>
      <c r="BC69" s="91">
        <f t="shared" si="72"/>
        <v>3465</v>
      </c>
      <c r="BD69" s="91">
        <f t="shared" si="72"/>
        <v>2772</v>
      </c>
      <c r="BE69" s="91">
        <f t="shared" si="72"/>
        <v>2772</v>
      </c>
      <c r="BF69" s="91">
        <f t="shared" si="72"/>
        <v>3465</v>
      </c>
      <c r="BG69" s="91">
        <f t="shared" si="72"/>
        <v>2772</v>
      </c>
      <c r="BH69" s="91">
        <f t="shared" si="72"/>
        <v>2772</v>
      </c>
      <c r="BI69" s="91">
        <f t="shared" si="72"/>
        <v>3465</v>
      </c>
      <c r="BJ69" s="91">
        <f t="shared" si="72"/>
        <v>2772</v>
      </c>
      <c r="BK69" s="92">
        <f t="shared" si="72"/>
        <v>2772</v>
      </c>
      <c r="BL69" s="93">
        <f t="shared" ref="BL69:BW69" si="73">AN69/AZ69</f>
        <v>0.4149541223781541</v>
      </c>
      <c r="BM69" s="94">
        <f t="shared" si="73"/>
        <v>0.50282333847729443</v>
      </c>
      <c r="BN69" s="94">
        <f t="shared" si="73"/>
        <v>0.54266664355708372</v>
      </c>
      <c r="BO69" s="94">
        <f t="shared" si="73"/>
        <v>0.49433785280528003</v>
      </c>
      <c r="BP69" s="94">
        <f t="shared" si="73"/>
        <v>0.76006638385732606</v>
      </c>
      <c r="BQ69" s="94">
        <f t="shared" si="73"/>
        <v>0.74389124100625403</v>
      </c>
      <c r="BR69" s="94">
        <f t="shared" si="73"/>
        <v>0.44475595802664153</v>
      </c>
      <c r="BS69" s="94">
        <f t="shared" si="73"/>
        <v>0.60748638329217941</v>
      </c>
      <c r="BT69" s="94">
        <f t="shared" si="73"/>
        <v>0.6455070537684533</v>
      </c>
      <c r="BU69" s="94">
        <f t="shared" si="73"/>
        <v>0.4255209807647049</v>
      </c>
      <c r="BV69" s="94">
        <f t="shared" si="73"/>
        <v>0.59487451636908151</v>
      </c>
      <c r="BW69" s="95">
        <f t="shared" si="73"/>
        <v>0.55644506588585174</v>
      </c>
      <c r="BX69" s="96">
        <f t="shared" ref="BX69:CI81" si="74">AZ69-AN69</f>
        <v>2027.183965959696</v>
      </c>
      <c r="BY69" s="97">
        <f t="shared" si="74"/>
        <v>1378.1737057409398</v>
      </c>
      <c r="BZ69" s="97">
        <f t="shared" si="74"/>
        <v>1267.7280640597639</v>
      </c>
      <c r="CA69" s="97">
        <f t="shared" si="74"/>
        <v>1752.1193400297047</v>
      </c>
      <c r="CB69" s="97">
        <f t="shared" si="74"/>
        <v>665.09598394749219</v>
      </c>
      <c r="CC69" s="97">
        <f t="shared" si="74"/>
        <v>709.93347993066391</v>
      </c>
      <c r="CD69" s="97">
        <f t="shared" si="74"/>
        <v>1923.9206054376871</v>
      </c>
      <c r="CE69" s="97">
        <f t="shared" si="74"/>
        <v>1088.0477455140788</v>
      </c>
      <c r="CF69" s="97">
        <f t="shared" si="74"/>
        <v>982.65444695384758</v>
      </c>
      <c r="CG69" s="97">
        <f t="shared" si="74"/>
        <v>1990.5698016502974</v>
      </c>
      <c r="CH69" s="97">
        <f t="shared" si="74"/>
        <v>1123.0078406249061</v>
      </c>
      <c r="CI69" s="98">
        <f t="shared" si="74"/>
        <v>1229.534277364419</v>
      </c>
      <c r="CJ69" s="96">
        <f t="shared" si="62"/>
        <v>1520.387974469772</v>
      </c>
      <c r="CK69" s="97">
        <f t="shared" si="62"/>
        <v>1033.6302793057048</v>
      </c>
      <c r="CL69" s="97">
        <f t="shared" si="62"/>
        <v>950.79604804482301</v>
      </c>
      <c r="CM69" s="97">
        <f t="shared" si="61"/>
        <v>1314.0895050222784</v>
      </c>
      <c r="CN69" s="97">
        <f t="shared" si="61"/>
        <v>498.82198796061914</v>
      </c>
      <c r="CO69" s="97">
        <f t="shared" si="61"/>
        <v>532.45010994799793</v>
      </c>
      <c r="CP69" s="97">
        <f t="shared" si="61"/>
        <v>1442.9404540782652</v>
      </c>
      <c r="CQ69" s="97">
        <f t="shared" si="61"/>
        <v>816.03580913555902</v>
      </c>
      <c r="CR69" s="97">
        <f t="shared" si="61"/>
        <v>736.99083521538569</v>
      </c>
      <c r="CS69" s="97">
        <f t="shared" si="61"/>
        <v>1492.9273512377231</v>
      </c>
      <c r="CT69" s="97">
        <f t="shared" si="61"/>
        <v>842.25588046867961</v>
      </c>
      <c r="CU69" s="98">
        <f t="shared" si="61"/>
        <v>922.15070802331434</v>
      </c>
      <c r="CV69" s="99">
        <f t="shared" ref="CV69:CV94" si="75">SUM(AZ69:BK69)*AJ69</f>
        <v>27027</v>
      </c>
      <c r="CW69" s="99">
        <f t="shared" ref="CW69:CW94" si="76">AI69*AJ69</f>
        <v>8108.0999999999995</v>
      </c>
    </row>
    <row r="70" spans="1:101" hidden="1" outlineLevel="1" x14ac:dyDescent="0.35">
      <c r="A70">
        <v>68</v>
      </c>
      <c r="B70" s="100" t="s">
        <v>127</v>
      </c>
      <c r="C70" s="101" t="s">
        <v>180</v>
      </c>
      <c r="D70" s="102">
        <f>175*60</f>
        <v>10500</v>
      </c>
      <c r="E70" s="103" t="s">
        <v>184</v>
      </c>
      <c r="F70" s="104" t="s">
        <v>181</v>
      </c>
      <c r="G70" s="63">
        <v>0.3</v>
      </c>
      <c r="H70" s="105" t="s">
        <v>182</v>
      </c>
      <c r="I70" s="65" t="s">
        <v>183</v>
      </c>
      <c r="J70" s="66" t="s">
        <v>185</v>
      </c>
      <c r="K70" s="106">
        <f t="shared" si="67"/>
        <v>75</v>
      </c>
      <c r="L70" s="107">
        <f t="shared" si="68"/>
        <v>110</v>
      </c>
      <c r="M70" s="107">
        <f t="shared" si="69"/>
        <v>134</v>
      </c>
      <c r="N70" s="108">
        <f t="shared" si="70"/>
        <v>150</v>
      </c>
      <c r="O70" s="109">
        <f t="shared" si="17"/>
        <v>787.5</v>
      </c>
      <c r="P70" s="110">
        <f t="shared" si="17"/>
        <v>1155</v>
      </c>
      <c r="Q70" s="110">
        <f t="shared" si="17"/>
        <v>1407</v>
      </c>
      <c r="R70" s="111">
        <f t="shared" si="17"/>
        <v>1575</v>
      </c>
      <c r="S70" s="112">
        <f t="shared" si="18"/>
        <v>12285</v>
      </c>
      <c r="T70" s="110">
        <f t="shared" si="18"/>
        <v>18018</v>
      </c>
      <c r="U70" s="110">
        <f t="shared" si="18"/>
        <v>21949.199999999997</v>
      </c>
      <c r="V70" s="111">
        <f t="shared" si="18"/>
        <v>24570</v>
      </c>
      <c r="W70" s="113">
        <v>0.6</v>
      </c>
      <c r="X70" s="114">
        <f t="shared" ref="X70:AE85" si="77">$W70*O70</f>
        <v>472.5</v>
      </c>
      <c r="Y70" s="115">
        <f t="shared" si="77"/>
        <v>693</v>
      </c>
      <c r="Z70" s="115">
        <f t="shared" si="77"/>
        <v>844.19999999999993</v>
      </c>
      <c r="AA70" s="116">
        <f t="shared" si="77"/>
        <v>945</v>
      </c>
      <c r="AB70" s="117">
        <f t="shared" si="77"/>
        <v>7371</v>
      </c>
      <c r="AC70" s="118">
        <f t="shared" si="77"/>
        <v>10810.8</v>
      </c>
      <c r="AD70" s="118">
        <f t="shared" si="77"/>
        <v>13169.519999999999</v>
      </c>
      <c r="AE70" s="119">
        <f t="shared" si="77"/>
        <v>14742</v>
      </c>
      <c r="AF70" s="81"/>
      <c r="AG70" s="120">
        <f t="shared" si="58"/>
        <v>0</v>
      </c>
      <c r="AH70" s="121">
        <f t="shared" si="59"/>
        <v>0</v>
      </c>
      <c r="AI70" s="122">
        <f t="shared" ref="AI70:AI72" si="78">IF(AF70="",0,HLOOKUP(AF70,$AB$3:$AE$84,A70,FALSE))</f>
        <v>0</v>
      </c>
      <c r="AJ70" s="123">
        <v>0.75</v>
      </c>
      <c r="AK70" s="86"/>
      <c r="AL70" s="87"/>
      <c r="AM70" s="87"/>
      <c r="AN70" s="88"/>
      <c r="AY70" s="89"/>
      <c r="AZ70" s="90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2"/>
      <c r="BL70" s="88"/>
      <c r="BW70" s="89"/>
      <c r="BX70" s="96"/>
      <c r="BY70" s="97"/>
      <c r="BZ70" s="97"/>
      <c r="CA70" s="97"/>
      <c r="CB70" s="97"/>
      <c r="CC70" s="97"/>
      <c r="CD70" s="97"/>
      <c r="CE70" s="97"/>
      <c r="CF70" s="97"/>
      <c r="CG70" s="97"/>
      <c r="CH70" s="97"/>
      <c r="CI70" s="98"/>
      <c r="CJ70" s="96">
        <f t="shared" si="62"/>
        <v>0</v>
      </c>
      <c r="CK70" s="97">
        <f t="shared" si="62"/>
        <v>0</v>
      </c>
      <c r="CL70" s="97">
        <f t="shared" si="62"/>
        <v>0</v>
      </c>
      <c r="CM70" s="97">
        <f t="shared" si="61"/>
        <v>0</v>
      </c>
      <c r="CN70" s="97">
        <f t="shared" si="61"/>
        <v>0</v>
      </c>
      <c r="CO70" s="97">
        <f t="shared" si="61"/>
        <v>0</v>
      </c>
      <c r="CP70" s="97">
        <f t="shared" si="61"/>
        <v>0</v>
      </c>
      <c r="CQ70" s="97">
        <f t="shared" si="61"/>
        <v>0</v>
      </c>
      <c r="CR70" s="97">
        <f t="shared" si="61"/>
        <v>0</v>
      </c>
      <c r="CS70" s="97">
        <f t="shared" si="61"/>
        <v>0</v>
      </c>
      <c r="CT70" s="97">
        <f t="shared" si="61"/>
        <v>0</v>
      </c>
      <c r="CU70" s="98">
        <f t="shared" si="61"/>
        <v>0</v>
      </c>
      <c r="CV70" s="99">
        <f t="shared" si="75"/>
        <v>0</v>
      </c>
      <c r="CW70" s="99">
        <f t="shared" si="76"/>
        <v>0</v>
      </c>
    </row>
    <row r="71" spans="1:101" hidden="1" outlineLevel="1" x14ac:dyDescent="0.35">
      <c r="A71">
        <v>69</v>
      </c>
      <c r="B71" s="100" t="s">
        <v>127</v>
      </c>
      <c r="C71" s="101" t="s">
        <v>180</v>
      </c>
      <c r="D71" s="102">
        <v>10020</v>
      </c>
      <c r="E71" s="103" t="s">
        <v>186</v>
      </c>
      <c r="F71" s="104" t="s">
        <v>187</v>
      </c>
      <c r="G71" s="63">
        <v>0.3</v>
      </c>
      <c r="H71" s="105" t="s">
        <v>182</v>
      </c>
      <c r="I71" s="65" t="s">
        <v>183</v>
      </c>
      <c r="J71" s="66" t="s">
        <v>188</v>
      </c>
      <c r="K71" s="106">
        <f t="shared" si="67"/>
        <v>75</v>
      </c>
      <c r="L71" s="107">
        <f t="shared" si="68"/>
        <v>110</v>
      </c>
      <c r="M71" s="107">
        <f t="shared" si="69"/>
        <v>134</v>
      </c>
      <c r="N71" s="108">
        <f t="shared" si="70"/>
        <v>150</v>
      </c>
      <c r="O71" s="109">
        <f t="shared" si="17"/>
        <v>751.5</v>
      </c>
      <c r="P71" s="110">
        <f t="shared" si="17"/>
        <v>1102.2</v>
      </c>
      <c r="Q71" s="110">
        <f t="shared" si="17"/>
        <v>1342.68</v>
      </c>
      <c r="R71" s="111">
        <f t="shared" si="17"/>
        <v>1503</v>
      </c>
      <c r="S71" s="112">
        <f t="shared" si="18"/>
        <v>11723.4</v>
      </c>
      <c r="T71" s="110">
        <f t="shared" si="18"/>
        <v>17194.32</v>
      </c>
      <c r="U71" s="110">
        <f t="shared" si="18"/>
        <v>20945.808000000001</v>
      </c>
      <c r="V71" s="111">
        <f t="shared" si="18"/>
        <v>23446.799999999999</v>
      </c>
      <c r="W71" s="113">
        <v>0.6</v>
      </c>
      <c r="X71" s="114">
        <f t="shared" si="77"/>
        <v>450.9</v>
      </c>
      <c r="Y71" s="115">
        <f t="shared" si="77"/>
        <v>661.32</v>
      </c>
      <c r="Z71" s="115">
        <f t="shared" si="77"/>
        <v>805.60800000000006</v>
      </c>
      <c r="AA71" s="116">
        <f t="shared" si="77"/>
        <v>901.8</v>
      </c>
      <c r="AB71" s="117">
        <f t="shared" si="77"/>
        <v>7034.04</v>
      </c>
      <c r="AC71" s="118">
        <f t="shared" si="77"/>
        <v>10316.591999999999</v>
      </c>
      <c r="AD71" s="118">
        <f t="shared" si="77"/>
        <v>12567.4848</v>
      </c>
      <c r="AE71" s="119">
        <f t="shared" si="77"/>
        <v>14068.08</v>
      </c>
      <c r="AF71" s="81"/>
      <c r="AG71" s="120">
        <f t="shared" si="58"/>
        <v>0</v>
      </c>
      <c r="AH71" s="121">
        <f t="shared" si="59"/>
        <v>0</v>
      </c>
      <c r="AI71" s="122">
        <f t="shared" si="78"/>
        <v>0</v>
      </c>
      <c r="AJ71" s="123">
        <v>0.75</v>
      </c>
      <c r="AK71" s="86"/>
      <c r="AL71" s="87"/>
      <c r="AM71" s="87"/>
      <c r="AN71" s="88"/>
      <c r="AY71" s="89"/>
      <c r="AZ71" s="90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2"/>
      <c r="BL71" s="88"/>
      <c r="BW71" s="89"/>
      <c r="BX71" s="96"/>
      <c r="BY71" s="97"/>
      <c r="BZ71" s="97"/>
      <c r="CA71" s="97"/>
      <c r="CB71" s="97"/>
      <c r="CC71" s="97"/>
      <c r="CD71" s="97"/>
      <c r="CE71" s="97"/>
      <c r="CF71" s="97"/>
      <c r="CG71" s="97"/>
      <c r="CH71" s="97"/>
      <c r="CI71" s="98"/>
      <c r="CJ71" s="96">
        <f t="shared" si="62"/>
        <v>0</v>
      </c>
      <c r="CK71" s="97">
        <f t="shared" si="62"/>
        <v>0</v>
      </c>
      <c r="CL71" s="97">
        <f t="shared" si="62"/>
        <v>0</v>
      </c>
      <c r="CM71" s="97">
        <f t="shared" si="61"/>
        <v>0</v>
      </c>
      <c r="CN71" s="97">
        <f t="shared" si="61"/>
        <v>0</v>
      </c>
      <c r="CO71" s="97">
        <f t="shared" si="61"/>
        <v>0</v>
      </c>
      <c r="CP71" s="97">
        <f t="shared" si="61"/>
        <v>0</v>
      </c>
      <c r="CQ71" s="97">
        <f t="shared" si="61"/>
        <v>0</v>
      </c>
      <c r="CR71" s="97">
        <f t="shared" si="61"/>
        <v>0</v>
      </c>
      <c r="CS71" s="97">
        <f t="shared" si="61"/>
        <v>0</v>
      </c>
      <c r="CT71" s="97">
        <f t="shared" si="61"/>
        <v>0</v>
      </c>
      <c r="CU71" s="98">
        <f t="shared" si="61"/>
        <v>0</v>
      </c>
      <c r="CV71" s="99">
        <f t="shared" si="75"/>
        <v>0</v>
      </c>
      <c r="CW71" s="99">
        <f t="shared" si="76"/>
        <v>0</v>
      </c>
    </row>
    <row r="72" spans="1:101" hidden="1" outlineLevel="1" x14ac:dyDescent="0.35">
      <c r="A72">
        <v>70</v>
      </c>
      <c r="B72" s="100" t="s">
        <v>127</v>
      </c>
      <c r="C72" s="101" t="s">
        <v>180</v>
      </c>
      <c r="D72" s="102">
        <v>9180</v>
      </c>
      <c r="E72" s="103" t="s">
        <v>189</v>
      </c>
      <c r="F72" s="104" t="s">
        <v>187</v>
      </c>
      <c r="G72" s="63">
        <v>0.32500000000000001</v>
      </c>
      <c r="H72" s="105" t="s">
        <v>182</v>
      </c>
      <c r="I72" s="65" t="s">
        <v>183</v>
      </c>
      <c r="J72" s="66" t="s">
        <v>190</v>
      </c>
      <c r="K72" s="106">
        <f t="shared" si="67"/>
        <v>75</v>
      </c>
      <c r="L72" s="107">
        <f t="shared" si="68"/>
        <v>110</v>
      </c>
      <c r="M72" s="107">
        <f t="shared" si="69"/>
        <v>134</v>
      </c>
      <c r="N72" s="108">
        <f t="shared" si="70"/>
        <v>150</v>
      </c>
      <c r="O72" s="109">
        <f t="shared" si="17"/>
        <v>688.5</v>
      </c>
      <c r="P72" s="110">
        <f t="shared" si="17"/>
        <v>1009.8</v>
      </c>
      <c r="Q72" s="110">
        <f t="shared" si="17"/>
        <v>1230.1199999999999</v>
      </c>
      <c r="R72" s="111">
        <f t="shared" si="17"/>
        <v>1377</v>
      </c>
      <c r="S72" s="112">
        <f t="shared" si="18"/>
        <v>11635.650000000001</v>
      </c>
      <c r="T72" s="110">
        <f t="shared" si="18"/>
        <v>17065.62</v>
      </c>
      <c r="U72" s="110">
        <f t="shared" si="18"/>
        <v>20789.027999999998</v>
      </c>
      <c r="V72" s="111">
        <f t="shared" si="18"/>
        <v>23271.300000000003</v>
      </c>
      <c r="W72" s="113">
        <v>0.6</v>
      </c>
      <c r="X72" s="114">
        <f t="shared" si="77"/>
        <v>413.09999999999997</v>
      </c>
      <c r="Y72" s="115">
        <f t="shared" si="77"/>
        <v>605.88</v>
      </c>
      <c r="Z72" s="115">
        <f t="shared" si="77"/>
        <v>738.07199999999989</v>
      </c>
      <c r="AA72" s="116">
        <f t="shared" si="77"/>
        <v>826.19999999999993</v>
      </c>
      <c r="AB72" s="117">
        <f t="shared" si="77"/>
        <v>6981.39</v>
      </c>
      <c r="AC72" s="118">
        <f t="shared" si="77"/>
        <v>10239.371999999999</v>
      </c>
      <c r="AD72" s="118">
        <f t="shared" si="77"/>
        <v>12473.416799999999</v>
      </c>
      <c r="AE72" s="119">
        <f t="shared" si="77"/>
        <v>13962.78</v>
      </c>
      <c r="AF72" s="81"/>
      <c r="AG72" s="120">
        <f t="shared" si="58"/>
        <v>0</v>
      </c>
      <c r="AH72" s="121">
        <f t="shared" si="59"/>
        <v>0</v>
      </c>
      <c r="AI72" s="122">
        <f t="shared" si="78"/>
        <v>0</v>
      </c>
      <c r="AJ72" s="123">
        <v>0.75</v>
      </c>
      <c r="AK72" s="86"/>
      <c r="AL72" s="87"/>
      <c r="AM72" s="87"/>
      <c r="AN72" s="88"/>
      <c r="AY72" s="89"/>
      <c r="AZ72" s="90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2"/>
      <c r="BL72" s="88"/>
      <c r="BW72" s="89"/>
      <c r="BX72" s="96"/>
      <c r="BY72" s="97"/>
      <c r="BZ72" s="97"/>
      <c r="CA72" s="97"/>
      <c r="CB72" s="97"/>
      <c r="CC72" s="97"/>
      <c r="CD72" s="97"/>
      <c r="CE72" s="97"/>
      <c r="CF72" s="97"/>
      <c r="CG72" s="97"/>
      <c r="CH72" s="97"/>
      <c r="CI72" s="98"/>
      <c r="CJ72" s="96">
        <f t="shared" si="62"/>
        <v>0</v>
      </c>
      <c r="CK72" s="97">
        <f t="shared" si="62"/>
        <v>0</v>
      </c>
      <c r="CL72" s="97">
        <f t="shared" si="62"/>
        <v>0</v>
      </c>
      <c r="CM72" s="97">
        <f t="shared" si="61"/>
        <v>0</v>
      </c>
      <c r="CN72" s="97">
        <f t="shared" si="61"/>
        <v>0</v>
      </c>
      <c r="CO72" s="97">
        <f t="shared" si="61"/>
        <v>0</v>
      </c>
      <c r="CP72" s="97">
        <f t="shared" si="61"/>
        <v>0</v>
      </c>
      <c r="CQ72" s="97">
        <f t="shared" si="61"/>
        <v>0</v>
      </c>
      <c r="CR72" s="97">
        <f t="shared" si="61"/>
        <v>0</v>
      </c>
      <c r="CS72" s="97">
        <f t="shared" si="61"/>
        <v>0</v>
      </c>
      <c r="CT72" s="97">
        <f t="shared" si="61"/>
        <v>0</v>
      </c>
      <c r="CU72" s="98">
        <f t="shared" si="61"/>
        <v>0</v>
      </c>
      <c r="CV72" s="99">
        <f t="shared" si="75"/>
        <v>0</v>
      </c>
      <c r="CW72" s="99">
        <f t="shared" si="76"/>
        <v>0</v>
      </c>
    </row>
    <row r="73" spans="1:101" collapsed="1" x14ac:dyDescent="0.35">
      <c r="A73">
        <v>71</v>
      </c>
      <c r="B73" s="100" t="s">
        <v>127</v>
      </c>
      <c r="C73" s="101" t="s">
        <v>191</v>
      </c>
      <c r="D73" s="125">
        <v>4710</v>
      </c>
      <c r="E73" s="103"/>
      <c r="F73" s="104" t="s">
        <v>192</v>
      </c>
      <c r="G73" s="63">
        <v>0.28999999999999998</v>
      </c>
      <c r="H73" s="105" t="s">
        <v>182</v>
      </c>
      <c r="I73" s="65" t="s">
        <v>193</v>
      </c>
      <c r="J73" s="66" t="s">
        <v>193</v>
      </c>
      <c r="K73" s="106">
        <f t="shared" si="67"/>
        <v>75</v>
      </c>
      <c r="L73" s="107">
        <f t="shared" si="68"/>
        <v>110</v>
      </c>
      <c r="M73" s="107">
        <f t="shared" si="69"/>
        <v>134</v>
      </c>
      <c r="N73" s="108">
        <f t="shared" si="70"/>
        <v>150</v>
      </c>
      <c r="O73" s="109">
        <f t="shared" si="17"/>
        <v>353.25</v>
      </c>
      <c r="P73" s="110">
        <f t="shared" si="17"/>
        <v>518.1</v>
      </c>
      <c r="Q73" s="110">
        <f t="shared" si="17"/>
        <v>631.14</v>
      </c>
      <c r="R73" s="111">
        <f t="shared" si="17"/>
        <v>706.5</v>
      </c>
      <c r="S73" s="112">
        <f t="shared" si="18"/>
        <v>5327.01</v>
      </c>
      <c r="T73" s="110">
        <f t="shared" si="18"/>
        <v>7812.9479999999994</v>
      </c>
      <c r="U73" s="110">
        <f t="shared" si="18"/>
        <v>9517.5911999999989</v>
      </c>
      <c r="V73" s="111">
        <f t="shared" si="18"/>
        <v>10654.02</v>
      </c>
      <c r="W73" s="113">
        <v>0.5</v>
      </c>
      <c r="X73" s="114">
        <f t="shared" si="77"/>
        <v>176.625</v>
      </c>
      <c r="Y73" s="115">
        <f t="shared" si="77"/>
        <v>259.05</v>
      </c>
      <c r="Z73" s="115">
        <f t="shared" si="77"/>
        <v>315.57</v>
      </c>
      <c r="AA73" s="116">
        <f t="shared" si="77"/>
        <v>353.25</v>
      </c>
      <c r="AB73" s="117">
        <f t="shared" si="77"/>
        <v>2663.5050000000001</v>
      </c>
      <c r="AC73" s="118">
        <f t="shared" si="77"/>
        <v>3906.4739999999997</v>
      </c>
      <c r="AD73" s="118">
        <f t="shared" si="77"/>
        <v>4758.7955999999995</v>
      </c>
      <c r="AE73" s="119">
        <f t="shared" si="77"/>
        <v>5327.01</v>
      </c>
      <c r="AF73" s="81" t="s">
        <v>32</v>
      </c>
      <c r="AG73" s="120">
        <f>IF(AF73="",0,HLOOKUP(AF73,$X$3:$AA$84,A73,FALSE))*52</f>
        <v>13470.6</v>
      </c>
      <c r="AH73" s="121">
        <f>IF(AF73="",0,HLOOKUP(AF73,$X$3:$AA$84,A73,FALSE))*4.3</f>
        <v>1113.915</v>
      </c>
      <c r="AI73" s="122">
        <f>IF(AF73="",0,HLOOKUP(AF73,$AB$3:$AE$84,A73,FALSE))</f>
        <v>3906.4739999999997</v>
      </c>
      <c r="AJ73" s="123">
        <v>0.75</v>
      </c>
      <c r="AK73" s="86">
        <f>SUM(AN73:AY73)</f>
        <v>949.99999999071963</v>
      </c>
      <c r="AL73" s="87">
        <f>AK73/AG73</f>
        <v>7.0523955873585412E-2</v>
      </c>
      <c r="AM73" s="87">
        <f t="shared" si="71"/>
        <v>9.4031941164780544E-2</v>
      </c>
      <c r="AN73" s="88">
        <v>0</v>
      </c>
      <c r="AO73">
        <v>0</v>
      </c>
      <c r="AP73">
        <v>0</v>
      </c>
      <c r="AQ73">
        <v>249.99999999587996</v>
      </c>
      <c r="AR73">
        <v>699.99999999483964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 s="89">
        <v>0</v>
      </c>
      <c r="AZ73" s="90">
        <f t="shared" ref="AZ73:BK73" si="79">AZ$1*HLOOKUP($AF73,$X$3:$AA$84,$A73,FALSE)</f>
        <v>1295.25</v>
      </c>
      <c r="BA73" s="91">
        <f t="shared" si="79"/>
        <v>1036.2</v>
      </c>
      <c r="BB73" s="91">
        <f t="shared" si="79"/>
        <v>1036.2</v>
      </c>
      <c r="BC73" s="91">
        <f t="shared" si="79"/>
        <v>1295.25</v>
      </c>
      <c r="BD73" s="91">
        <f t="shared" si="79"/>
        <v>1036.2</v>
      </c>
      <c r="BE73" s="91">
        <f t="shared" si="79"/>
        <v>1036.2</v>
      </c>
      <c r="BF73" s="91">
        <f t="shared" si="79"/>
        <v>1295.25</v>
      </c>
      <c r="BG73" s="91">
        <f t="shared" si="79"/>
        <v>1036.2</v>
      </c>
      <c r="BH73" s="91">
        <f t="shared" si="79"/>
        <v>1036.2</v>
      </c>
      <c r="BI73" s="91">
        <f t="shared" si="79"/>
        <v>1295.25</v>
      </c>
      <c r="BJ73" s="91">
        <f t="shared" si="79"/>
        <v>1036.2</v>
      </c>
      <c r="BK73" s="92">
        <f t="shared" si="79"/>
        <v>1036.2</v>
      </c>
      <c r="BL73" s="93">
        <f t="shared" ref="BL73:BW73" si="80">AN73/AZ73</f>
        <v>0</v>
      </c>
      <c r="BM73" s="94">
        <f t="shared" si="80"/>
        <v>0</v>
      </c>
      <c r="BN73" s="94">
        <f t="shared" si="80"/>
        <v>0</v>
      </c>
      <c r="BO73" s="94">
        <f t="shared" si="80"/>
        <v>0.19301293186325416</v>
      </c>
      <c r="BP73" s="94">
        <f t="shared" si="80"/>
        <v>0.67554526152754257</v>
      </c>
      <c r="BQ73" s="94">
        <f t="shared" si="80"/>
        <v>0</v>
      </c>
      <c r="BR73" s="94">
        <f t="shared" si="80"/>
        <v>0</v>
      </c>
      <c r="BS73" s="94">
        <f t="shared" si="80"/>
        <v>0</v>
      </c>
      <c r="BT73" s="94">
        <f t="shared" si="80"/>
        <v>0</v>
      </c>
      <c r="BU73" s="94">
        <f t="shared" si="80"/>
        <v>0</v>
      </c>
      <c r="BV73" s="94">
        <f t="shared" si="80"/>
        <v>0</v>
      </c>
      <c r="BW73" s="95">
        <f t="shared" si="80"/>
        <v>0</v>
      </c>
      <c r="BX73" s="96">
        <f t="shared" si="74"/>
        <v>1295.25</v>
      </c>
      <c r="BY73" s="97">
        <f t="shared" si="74"/>
        <v>1036.2</v>
      </c>
      <c r="BZ73" s="97">
        <f t="shared" si="74"/>
        <v>1036.2</v>
      </c>
      <c r="CA73" s="97">
        <f t="shared" si="74"/>
        <v>1045.25000000412</v>
      </c>
      <c r="CB73" s="97">
        <f t="shared" si="74"/>
        <v>336.2000000051604</v>
      </c>
      <c r="CC73" s="97">
        <f t="shared" si="74"/>
        <v>1036.2</v>
      </c>
      <c r="CD73" s="97">
        <f t="shared" si="74"/>
        <v>1295.25</v>
      </c>
      <c r="CE73" s="97">
        <f t="shared" si="74"/>
        <v>1036.2</v>
      </c>
      <c r="CF73" s="97">
        <f t="shared" si="74"/>
        <v>1036.2</v>
      </c>
      <c r="CG73" s="97">
        <f t="shared" si="74"/>
        <v>1295.25</v>
      </c>
      <c r="CH73" s="97">
        <f t="shared" si="74"/>
        <v>1036.2</v>
      </c>
      <c r="CI73" s="98">
        <f t="shared" si="74"/>
        <v>1036.2</v>
      </c>
      <c r="CJ73" s="96">
        <f t="shared" si="62"/>
        <v>971.4375</v>
      </c>
      <c r="CK73" s="97">
        <f t="shared" si="62"/>
        <v>777.15000000000009</v>
      </c>
      <c r="CL73" s="97">
        <f t="shared" si="62"/>
        <v>777.15000000000009</v>
      </c>
      <c r="CM73" s="97">
        <f t="shared" si="61"/>
        <v>783.93750000309001</v>
      </c>
      <c r="CN73" s="97">
        <f t="shared" si="61"/>
        <v>252.1500000038703</v>
      </c>
      <c r="CO73" s="97">
        <f t="shared" si="61"/>
        <v>777.15000000000009</v>
      </c>
      <c r="CP73" s="97">
        <f t="shared" si="61"/>
        <v>971.4375</v>
      </c>
      <c r="CQ73" s="97">
        <f t="shared" si="61"/>
        <v>777.15000000000009</v>
      </c>
      <c r="CR73" s="97">
        <f t="shared" si="61"/>
        <v>777.15000000000009</v>
      </c>
      <c r="CS73" s="97">
        <f t="shared" si="61"/>
        <v>971.4375</v>
      </c>
      <c r="CT73" s="97">
        <f t="shared" si="61"/>
        <v>777.15000000000009</v>
      </c>
      <c r="CU73" s="98">
        <f t="shared" si="61"/>
        <v>777.15000000000009</v>
      </c>
      <c r="CV73" s="99">
        <f t="shared" si="75"/>
        <v>10102.950000000001</v>
      </c>
      <c r="CW73" s="99">
        <f t="shared" si="76"/>
        <v>2929.8554999999997</v>
      </c>
    </row>
    <row r="74" spans="1:101" hidden="1" outlineLevel="1" x14ac:dyDescent="0.35">
      <c r="A74">
        <v>72</v>
      </c>
      <c r="B74" s="100" t="s">
        <v>127</v>
      </c>
      <c r="C74" s="101" t="s">
        <v>191</v>
      </c>
      <c r="D74" s="102">
        <v>5580</v>
      </c>
      <c r="E74" s="103" t="s">
        <v>194</v>
      </c>
      <c r="F74" s="104">
        <v>510</v>
      </c>
      <c r="G74" s="63">
        <v>0.24</v>
      </c>
      <c r="H74" s="105" t="s">
        <v>182</v>
      </c>
      <c r="I74" s="65" t="s">
        <v>193</v>
      </c>
      <c r="J74" s="66" t="s">
        <v>195</v>
      </c>
      <c r="K74" s="106">
        <f t="shared" si="67"/>
        <v>75</v>
      </c>
      <c r="L74" s="107">
        <f t="shared" si="68"/>
        <v>110</v>
      </c>
      <c r="M74" s="107">
        <f t="shared" si="69"/>
        <v>134</v>
      </c>
      <c r="N74" s="108">
        <f t="shared" si="70"/>
        <v>150</v>
      </c>
      <c r="O74" s="109">
        <f t="shared" si="17"/>
        <v>418.5</v>
      </c>
      <c r="P74" s="110">
        <f t="shared" si="17"/>
        <v>613.79999999999995</v>
      </c>
      <c r="Q74" s="110">
        <f t="shared" si="17"/>
        <v>747.72</v>
      </c>
      <c r="R74" s="111">
        <f t="shared" si="17"/>
        <v>837</v>
      </c>
      <c r="S74" s="112">
        <f t="shared" si="18"/>
        <v>5222.88</v>
      </c>
      <c r="T74" s="110">
        <f t="shared" si="18"/>
        <v>7660.2239999999993</v>
      </c>
      <c r="U74" s="110">
        <f t="shared" si="18"/>
        <v>9331.5455999999995</v>
      </c>
      <c r="V74" s="111">
        <f t="shared" si="18"/>
        <v>10445.76</v>
      </c>
      <c r="W74" s="113">
        <v>0.5</v>
      </c>
      <c r="X74" s="114">
        <f t="shared" si="77"/>
        <v>209.25</v>
      </c>
      <c r="Y74" s="115">
        <f t="shared" si="77"/>
        <v>306.89999999999998</v>
      </c>
      <c r="Z74" s="115">
        <f t="shared" si="77"/>
        <v>373.86</v>
      </c>
      <c r="AA74" s="116">
        <f t="shared" si="77"/>
        <v>418.5</v>
      </c>
      <c r="AB74" s="117">
        <f t="shared" si="77"/>
        <v>2611.44</v>
      </c>
      <c r="AC74" s="118">
        <f t="shared" si="77"/>
        <v>3830.1119999999996</v>
      </c>
      <c r="AD74" s="118">
        <f t="shared" si="77"/>
        <v>4665.7727999999997</v>
      </c>
      <c r="AE74" s="119">
        <f t="shared" si="77"/>
        <v>5222.88</v>
      </c>
      <c r="AF74" s="81"/>
      <c r="AG74" s="120">
        <f t="shared" ref="AG74:AG76" si="81">IF(AF74="",0,HLOOKUP(AF74,$X$3:$AA$84,A74,FALSE))*52</f>
        <v>0</v>
      </c>
      <c r="AH74" s="121">
        <f t="shared" ref="AH74:AH76" si="82">IF(AF74="",0,HLOOKUP(AF74,$X$3:$AA$84,A74,FALSE))*4.3</f>
        <v>0</v>
      </c>
      <c r="AI74" s="122">
        <f t="shared" ref="AI74:AI76" si="83">IF(AF74="",0,HLOOKUP(AF74,$AB$3:$AE$84,A74,FALSE))</f>
        <v>0</v>
      </c>
      <c r="AJ74" s="123">
        <v>0.75</v>
      </c>
      <c r="AL74" s="87"/>
      <c r="AM74" s="87"/>
      <c r="AN74" s="88"/>
      <c r="AY74" s="89"/>
      <c r="AZ74" s="90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2"/>
      <c r="BL74" s="88"/>
      <c r="BW74" s="89"/>
      <c r="BX74" s="96"/>
      <c r="BY74" s="97"/>
      <c r="BZ74" s="97"/>
      <c r="CA74" s="97"/>
      <c r="CB74" s="97"/>
      <c r="CC74" s="97"/>
      <c r="CD74" s="97"/>
      <c r="CE74" s="97"/>
      <c r="CF74" s="97"/>
      <c r="CG74" s="97"/>
      <c r="CH74" s="97"/>
      <c r="CI74" s="98"/>
      <c r="CJ74" s="96">
        <f t="shared" si="62"/>
        <v>0</v>
      </c>
      <c r="CK74" s="97">
        <f t="shared" si="62"/>
        <v>0</v>
      </c>
      <c r="CL74" s="97">
        <f t="shared" si="62"/>
        <v>0</v>
      </c>
      <c r="CM74" s="97">
        <f t="shared" si="61"/>
        <v>0</v>
      </c>
      <c r="CN74" s="97">
        <f t="shared" si="61"/>
        <v>0</v>
      </c>
      <c r="CO74" s="97">
        <f t="shared" si="61"/>
        <v>0</v>
      </c>
      <c r="CP74" s="97">
        <f t="shared" si="61"/>
        <v>0</v>
      </c>
      <c r="CQ74" s="97">
        <f t="shared" si="61"/>
        <v>0</v>
      </c>
      <c r="CR74" s="97">
        <f t="shared" si="61"/>
        <v>0</v>
      </c>
      <c r="CS74" s="97">
        <f t="shared" si="61"/>
        <v>0</v>
      </c>
      <c r="CT74" s="97">
        <f t="shared" si="61"/>
        <v>0</v>
      </c>
      <c r="CU74" s="98">
        <f t="shared" si="61"/>
        <v>0</v>
      </c>
      <c r="CV74" s="99">
        <f t="shared" si="75"/>
        <v>0</v>
      </c>
      <c r="CW74" s="99">
        <f t="shared" si="76"/>
        <v>0</v>
      </c>
    </row>
    <row r="75" spans="1:101" hidden="1" outlineLevel="1" x14ac:dyDescent="0.35">
      <c r="A75">
        <v>73</v>
      </c>
      <c r="B75" s="100" t="s">
        <v>127</v>
      </c>
      <c r="C75" s="101" t="s">
        <v>191</v>
      </c>
      <c r="D75" s="102">
        <v>3840</v>
      </c>
      <c r="E75" s="103" t="s">
        <v>194</v>
      </c>
      <c r="F75" s="104">
        <v>660</v>
      </c>
      <c r="G75" s="63">
        <v>0.34</v>
      </c>
      <c r="H75" s="105" t="s">
        <v>182</v>
      </c>
      <c r="I75" s="65" t="s">
        <v>193</v>
      </c>
      <c r="J75" s="66" t="s">
        <v>196</v>
      </c>
      <c r="K75" s="106">
        <f t="shared" si="67"/>
        <v>75</v>
      </c>
      <c r="L75" s="107">
        <f t="shared" si="68"/>
        <v>110</v>
      </c>
      <c r="M75" s="107">
        <f t="shared" si="69"/>
        <v>134</v>
      </c>
      <c r="N75" s="108">
        <f t="shared" si="70"/>
        <v>150</v>
      </c>
      <c r="O75" s="109">
        <f t="shared" si="17"/>
        <v>288</v>
      </c>
      <c r="P75" s="110">
        <f t="shared" si="17"/>
        <v>422.4</v>
      </c>
      <c r="Q75" s="110">
        <f t="shared" si="17"/>
        <v>514.55999999999995</v>
      </c>
      <c r="R75" s="111">
        <f t="shared" si="17"/>
        <v>576</v>
      </c>
      <c r="S75" s="112">
        <f t="shared" si="18"/>
        <v>5091.84</v>
      </c>
      <c r="T75" s="110">
        <f t="shared" si="18"/>
        <v>7468.0320000000011</v>
      </c>
      <c r="U75" s="110">
        <f t="shared" si="18"/>
        <v>9097.4207999999999</v>
      </c>
      <c r="V75" s="111">
        <f t="shared" si="18"/>
        <v>10183.68</v>
      </c>
      <c r="W75" s="113">
        <v>0.5</v>
      </c>
      <c r="X75" s="114">
        <f t="shared" si="77"/>
        <v>144</v>
      </c>
      <c r="Y75" s="115">
        <f t="shared" si="77"/>
        <v>211.2</v>
      </c>
      <c r="Z75" s="115">
        <f t="shared" si="77"/>
        <v>257.27999999999997</v>
      </c>
      <c r="AA75" s="116">
        <f t="shared" si="77"/>
        <v>288</v>
      </c>
      <c r="AB75" s="117">
        <f t="shared" si="77"/>
        <v>2545.92</v>
      </c>
      <c r="AC75" s="118">
        <f t="shared" si="77"/>
        <v>3734.0160000000005</v>
      </c>
      <c r="AD75" s="118">
        <f t="shared" si="77"/>
        <v>4548.7103999999999</v>
      </c>
      <c r="AE75" s="119">
        <f t="shared" si="77"/>
        <v>5091.84</v>
      </c>
      <c r="AF75" s="81"/>
      <c r="AG75" s="120">
        <f t="shared" si="81"/>
        <v>0</v>
      </c>
      <c r="AH75" s="121">
        <f t="shared" si="82"/>
        <v>0</v>
      </c>
      <c r="AI75" s="122">
        <f t="shared" si="83"/>
        <v>0</v>
      </c>
      <c r="AJ75" s="123">
        <v>0.75</v>
      </c>
      <c r="AL75" s="87"/>
      <c r="AM75" s="87"/>
      <c r="AN75" s="88"/>
      <c r="AY75" s="89"/>
      <c r="AZ75" s="90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2"/>
      <c r="BL75" s="88"/>
      <c r="BW75" s="89"/>
      <c r="BX75" s="96"/>
      <c r="BY75" s="97"/>
      <c r="BZ75" s="97"/>
      <c r="CA75" s="97"/>
      <c r="CB75" s="97"/>
      <c r="CC75" s="97"/>
      <c r="CD75" s="97"/>
      <c r="CE75" s="97"/>
      <c r="CF75" s="97"/>
      <c r="CG75" s="97"/>
      <c r="CH75" s="97"/>
      <c r="CI75" s="98"/>
      <c r="CJ75" s="96">
        <f t="shared" si="62"/>
        <v>0</v>
      </c>
      <c r="CK75" s="97">
        <f t="shared" si="62"/>
        <v>0</v>
      </c>
      <c r="CL75" s="97">
        <f t="shared" si="62"/>
        <v>0</v>
      </c>
      <c r="CM75" s="97">
        <f t="shared" si="61"/>
        <v>0</v>
      </c>
      <c r="CN75" s="97">
        <f t="shared" si="61"/>
        <v>0</v>
      </c>
      <c r="CO75" s="97">
        <f t="shared" si="61"/>
        <v>0</v>
      </c>
      <c r="CP75" s="97">
        <f t="shared" si="61"/>
        <v>0</v>
      </c>
      <c r="CQ75" s="97">
        <f t="shared" si="61"/>
        <v>0</v>
      </c>
      <c r="CR75" s="97">
        <f t="shared" si="61"/>
        <v>0</v>
      </c>
      <c r="CS75" s="97">
        <f t="shared" si="61"/>
        <v>0</v>
      </c>
      <c r="CT75" s="97">
        <f t="shared" si="61"/>
        <v>0</v>
      </c>
      <c r="CU75" s="98">
        <f t="shared" si="61"/>
        <v>0</v>
      </c>
      <c r="CV75" s="99">
        <f t="shared" si="75"/>
        <v>0</v>
      </c>
      <c r="CW75" s="99">
        <f t="shared" si="76"/>
        <v>0</v>
      </c>
    </row>
    <row r="76" spans="1:101" hidden="1" outlineLevel="1" x14ac:dyDescent="0.35">
      <c r="A76">
        <v>74</v>
      </c>
      <c r="B76" s="100" t="s">
        <v>127</v>
      </c>
      <c r="C76" s="101" t="s">
        <v>191</v>
      </c>
      <c r="D76" s="102">
        <v>4320</v>
      </c>
      <c r="E76" s="103" t="s">
        <v>197</v>
      </c>
      <c r="F76" s="104">
        <v>400</v>
      </c>
      <c r="G76" s="63">
        <v>0.27</v>
      </c>
      <c r="H76" s="105" t="s">
        <v>198</v>
      </c>
      <c r="I76" s="65" t="s">
        <v>193</v>
      </c>
      <c r="J76" s="66" t="s">
        <v>199</v>
      </c>
      <c r="K76" s="106">
        <f t="shared" si="67"/>
        <v>75</v>
      </c>
      <c r="L76" s="107">
        <f t="shared" si="68"/>
        <v>110</v>
      </c>
      <c r="M76" s="107">
        <f t="shared" si="69"/>
        <v>134</v>
      </c>
      <c r="N76" s="108">
        <f t="shared" si="70"/>
        <v>150</v>
      </c>
      <c r="O76" s="109">
        <f t="shared" si="17"/>
        <v>324</v>
      </c>
      <c r="P76" s="110">
        <f t="shared" si="17"/>
        <v>475.2</v>
      </c>
      <c r="Q76" s="110">
        <f t="shared" si="17"/>
        <v>578.88</v>
      </c>
      <c r="R76" s="111">
        <f t="shared" si="17"/>
        <v>648</v>
      </c>
      <c r="S76" s="112">
        <f t="shared" si="18"/>
        <v>4548.96</v>
      </c>
      <c r="T76" s="110">
        <f t="shared" si="18"/>
        <v>6671.808</v>
      </c>
      <c r="U76" s="110">
        <f t="shared" si="18"/>
        <v>8127.4752000000008</v>
      </c>
      <c r="V76" s="111">
        <f t="shared" si="18"/>
        <v>9097.92</v>
      </c>
      <c r="W76" s="113">
        <v>0.5</v>
      </c>
      <c r="X76" s="114">
        <f t="shared" si="77"/>
        <v>162</v>
      </c>
      <c r="Y76" s="115">
        <f t="shared" si="77"/>
        <v>237.6</v>
      </c>
      <c r="Z76" s="115">
        <f t="shared" si="77"/>
        <v>289.44</v>
      </c>
      <c r="AA76" s="116">
        <f t="shared" si="77"/>
        <v>324</v>
      </c>
      <c r="AB76" s="117">
        <f t="shared" si="77"/>
        <v>2274.48</v>
      </c>
      <c r="AC76" s="118">
        <f t="shared" si="77"/>
        <v>3335.904</v>
      </c>
      <c r="AD76" s="118">
        <f t="shared" si="77"/>
        <v>4063.7376000000004</v>
      </c>
      <c r="AE76" s="119">
        <f t="shared" si="77"/>
        <v>4548.96</v>
      </c>
      <c r="AF76" s="81"/>
      <c r="AG76" s="120">
        <f t="shared" si="81"/>
        <v>0</v>
      </c>
      <c r="AH76" s="121">
        <f t="shared" si="82"/>
        <v>0</v>
      </c>
      <c r="AI76" s="122">
        <f t="shared" si="83"/>
        <v>0</v>
      </c>
      <c r="AJ76" s="123">
        <v>0.75</v>
      </c>
      <c r="AL76" s="87"/>
      <c r="AM76" s="87"/>
      <c r="AN76" s="88"/>
      <c r="AY76" s="89"/>
      <c r="AZ76" s="90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2"/>
      <c r="BL76" s="88"/>
      <c r="BW76" s="89"/>
      <c r="BX76" s="96"/>
      <c r="BY76" s="97"/>
      <c r="BZ76" s="97"/>
      <c r="CA76" s="97"/>
      <c r="CB76" s="97"/>
      <c r="CC76" s="97"/>
      <c r="CD76" s="97"/>
      <c r="CE76" s="97"/>
      <c r="CF76" s="97"/>
      <c r="CG76" s="97"/>
      <c r="CH76" s="97"/>
      <c r="CI76" s="98"/>
      <c r="CJ76" s="96">
        <f t="shared" si="62"/>
        <v>0</v>
      </c>
      <c r="CK76" s="97">
        <f t="shared" si="62"/>
        <v>0</v>
      </c>
      <c r="CL76" s="97">
        <f t="shared" si="62"/>
        <v>0</v>
      </c>
      <c r="CM76" s="97">
        <f t="shared" si="61"/>
        <v>0</v>
      </c>
      <c r="CN76" s="97">
        <f t="shared" si="61"/>
        <v>0</v>
      </c>
      <c r="CO76" s="97">
        <f t="shared" si="61"/>
        <v>0</v>
      </c>
      <c r="CP76" s="97">
        <f t="shared" si="61"/>
        <v>0</v>
      </c>
      <c r="CQ76" s="97">
        <f t="shared" si="61"/>
        <v>0</v>
      </c>
      <c r="CR76" s="97">
        <f t="shared" si="61"/>
        <v>0</v>
      </c>
      <c r="CS76" s="97">
        <f t="shared" si="61"/>
        <v>0</v>
      </c>
      <c r="CT76" s="97">
        <f t="shared" si="61"/>
        <v>0</v>
      </c>
      <c r="CU76" s="98">
        <f t="shared" si="61"/>
        <v>0</v>
      </c>
      <c r="CV76" s="99">
        <f t="shared" si="75"/>
        <v>0</v>
      </c>
      <c r="CW76" s="99">
        <f t="shared" si="76"/>
        <v>0</v>
      </c>
    </row>
    <row r="77" spans="1:101" collapsed="1" x14ac:dyDescent="0.35">
      <c r="A77">
        <v>75</v>
      </c>
      <c r="B77" s="100" t="s">
        <v>127</v>
      </c>
      <c r="C77" s="101" t="s">
        <v>200</v>
      </c>
      <c r="D77" s="125">
        <v>7440</v>
      </c>
      <c r="E77" s="103"/>
      <c r="F77" s="104" t="s">
        <v>201</v>
      </c>
      <c r="G77" s="63">
        <v>0.255</v>
      </c>
      <c r="H77" s="105" t="s">
        <v>182</v>
      </c>
      <c r="I77" s="65" t="s">
        <v>193</v>
      </c>
      <c r="J77" s="66" t="s">
        <v>193</v>
      </c>
      <c r="K77" s="106">
        <f t="shared" si="67"/>
        <v>75</v>
      </c>
      <c r="L77" s="107">
        <f t="shared" si="68"/>
        <v>110</v>
      </c>
      <c r="M77" s="107">
        <f t="shared" si="69"/>
        <v>134</v>
      </c>
      <c r="N77" s="108">
        <f t="shared" si="70"/>
        <v>150</v>
      </c>
      <c r="O77" s="109">
        <f t="shared" si="17"/>
        <v>558</v>
      </c>
      <c r="P77" s="110">
        <f t="shared" si="17"/>
        <v>818.4</v>
      </c>
      <c r="Q77" s="110">
        <f t="shared" si="17"/>
        <v>996.96</v>
      </c>
      <c r="R77" s="111">
        <f t="shared" si="17"/>
        <v>1116</v>
      </c>
      <c r="S77" s="112">
        <f t="shared" si="18"/>
        <v>7399.08</v>
      </c>
      <c r="T77" s="110">
        <f t="shared" si="18"/>
        <v>10851.984</v>
      </c>
      <c r="U77" s="110">
        <f t="shared" si="18"/>
        <v>13219.689600000002</v>
      </c>
      <c r="V77" s="111">
        <f t="shared" si="18"/>
        <v>14798.16</v>
      </c>
      <c r="W77" s="113">
        <v>0.5</v>
      </c>
      <c r="X77" s="114">
        <f t="shared" si="77"/>
        <v>279</v>
      </c>
      <c r="Y77" s="115">
        <f t="shared" si="77"/>
        <v>409.2</v>
      </c>
      <c r="Z77" s="115">
        <f t="shared" si="77"/>
        <v>498.48</v>
      </c>
      <c r="AA77" s="116">
        <f t="shared" si="77"/>
        <v>558</v>
      </c>
      <c r="AB77" s="117">
        <f t="shared" si="77"/>
        <v>3699.54</v>
      </c>
      <c r="AC77" s="118">
        <f t="shared" si="77"/>
        <v>5425.9920000000002</v>
      </c>
      <c r="AD77" s="118">
        <f t="shared" si="77"/>
        <v>6609.8448000000008</v>
      </c>
      <c r="AE77" s="119">
        <f t="shared" si="77"/>
        <v>7399.08</v>
      </c>
      <c r="AF77" s="81" t="s">
        <v>32</v>
      </c>
      <c r="AG77" s="120">
        <f>IF(AF77="",0,HLOOKUP(AF77,$X$3:$AA$84,A77,FALSE))*52</f>
        <v>21278.399999999998</v>
      </c>
      <c r="AH77" s="121">
        <f>IF(AF77="",0,HLOOKUP(AF77,$X$3:$AA$84,A77,FALSE))*4.3</f>
        <v>1759.56</v>
      </c>
      <c r="AI77" s="122">
        <f>IF(AF77="",0,HLOOKUP(AF77,$AB$3:$AE$84,A77,FALSE))</f>
        <v>5425.9920000000002</v>
      </c>
      <c r="AJ77" s="123">
        <v>0.75</v>
      </c>
      <c r="AK77" s="86">
        <f>SUM(AN77:AY77)</f>
        <v>23554.338405905673</v>
      </c>
      <c r="AL77" s="87">
        <f>AK77/AG77</f>
        <v>1.10696003486661</v>
      </c>
      <c r="AM77" s="87">
        <f t="shared" si="71"/>
        <v>1.47594671315548</v>
      </c>
      <c r="AN77" s="88">
        <v>1558.5531372795067</v>
      </c>
      <c r="AO77">
        <v>1380.3691404226986</v>
      </c>
      <c r="AP77">
        <v>1468.622868702008</v>
      </c>
      <c r="AQ77">
        <v>2050.6785647129368</v>
      </c>
      <c r="AR77">
        <v>3034.2637307053128</v>
      </c>
      <c r="AS77">
        <v>2887.7749617370491</v>
      </c>
      <c r="AT77">
        <v>1436.9112973596107</v>
      </c>
      <c r="AU77">
        <v>1479.3155284792226</v>
      </c>
      <c r="AV77">
        <v>2423.6612677835906</v>
      </c>
      <c r="AW77">
        <v>2188.4324394978066</v>
      </c>
      <c r="AX77">
        <v>1907.2289425437866</v>
      </c>
      <c r="AY77" s="89">
        <v>1738.5265266821482</v>
      </c>
      <c r="AZ77" s="90">
        <f t="shared" ref="AZ77:BK77" si="84">AZ$1*HLOOKUP($AF77,$X$3:$AA$84,$A77,FALSE)</f>
        <v>2046</v>
      </c>
      <c r="BA77" s="91">
        <f t="shared" si="84"/>
        <v>1636.8</v>
      </c>
      <c r="BB77" s="91">
        <f t="shared" si="84"/>
        <v>1636.8</v>
      </c>
      <c r="BC77" s="91">
        <f t="shared" si="84"/>
        <v>2046</v>
      </c>
      <c r="BD77" s="91">
        <f t="shared" si="84"/>
        <v>1636.8</v>
      </c>
      <c r="BE77" s="91">
        <f t="shared" si="84"/>
        <v>1636.8</v>
      </c>
      <c r="BF77" s="91">
        <f t="shared" si="84"/>
        <v>2046</v>
      </c>
      <c r="BG77" s="91">
        <f t="shared" si="84"/>
        <v>1636.8</v>
      </c>
      <c r="BH77" s="91">
        <f t="shared" si="84"/>
        <v>1636.8</v>
      </c>
      <c r="BI77" s="91">
        <f t="shared" si="84"/>
        <v>2046</v>
      </c>
      <c r="BJ77" s="91">
        <f t="shared" si="84"/>
        <v>1636.8</v>
      </c>
      <c r="BK77" s="92">
        <f t="shared" si="84"/>
        <v>1636.8</v>
      </c>
      <c r="BL77" s="93">
        <f t="shared" ref="BL77:BW77" si="85">AN77/AZ77</f>
        <v>0.76175617657844907</v>
      </c>
      <c r="BM77" s="94">
        <f t="shared" si="85"/>
        <v>0.84333403007251873</v>
      </c>
      <c r="BN77" s="94">
        <f t="shared" si="85"/>
        <v>0.89725248576613392</v>
      </c>
      <c r="BO77" s="94">
        <f t="shared" si="85"/>
        <v>1.0022866885204971</v>
      </c>
      <c r="BP77" s="94">
        <f t="shared" si="85"/>
        <v>1.8537779390917113</v>
      </c>
      <c r="BQ77" s="94">
        <f t="shared" si="85"/>
        <v>1.7642808906018139</v>
      </c>
      <c r="BR77" s="94">
        <f t="shared" si="85"/>
        <v>0.70230268688153019</v>
      </c>
      <c r="BS77" s="94">
        <f t="shared" si="85"/>
        <v>0.90378514692034617</v>
      </c>
      <c r="BT77" s="94">
        <f t="shared" si="85"/>
        <v>1.4807314685872377</v>
      </c>
      <c r="BU77" s="94">
        <f t="shared" si="85"/>
        <v>1.0696150730683316</v>
      </c>
      <c r="BV77" s="94">
        <f t="shared" si="85"/>
        <v>1.1652180734016293</v>
      </c>
      <c r="BW77" s="95">
        <f t="shared" si="85"/>
        <v>1.0621496375135315</v>
      </c>
      <c r="BX77" s="96">
        <f t="shared" si="74"/>
        <v>487.4468627204933</v>
      </c>
      <c r="BY77" s="97">
        <f t="shared" si="74"/>
        <v>256.43085957730136</v>
      </c>
      <c r="BZ77" s="97">
        <f t="shared" si="74"/>
        <v>168.17713129799199</v>
      </c>
      <c r="CA77" s="97">
        <f t="shared" si="74"/>
        <v>-4.6785647129368044</v>
      </c>
      <c r="CB77" s="97">
        <f t="shared" si="74"/>
        <v>-1397.4637307053129</v>
      </c>
      <c r="CC77" s="97">
        <f t="shared" si="74"/>
        <v>-1250.9749617370492</v>
      </c>
      <c r="CD77" s="97">
        <f t="shared" si="74"/>
        <v>609.08870264038933</v>
      </c>
      <c r="CE77" s="97">
        <f t="shared" si="74"/>
        <v>157.48447152077733</v>
      </c>
      <c r="CF77" s="97">
        <f t="shared" si="74"/>
        <v>-786.86126778359062</v>
      </c>
      <c r="CG77" s="97">
        <f t="shared" si="74"/>
        <v>-142.43243949780663</v>
      </c>
      <c r="CH77" s="97">
        <f t="shared" si="74"/>
        <v>-270.42894254378666</v>
      </c>
      <c r="CI77" s="98">
        <f t="shared" si="74"/>
        <v>-101.72652668214823</v>
      </c>
      <c r="CJ77" s="96">
        <f t="shared" si="62"/>
        <v>365.58514704036998</v>
      </c>
      <c r="CK77" s="97">
        <f t="shared" si="62"/>
        <v>192.32314468297602</v>
      </c>
      <c r="CL77" s="97">
        <f t="shared" si="62"/>
        <v>126.13284847349399</v>
      </c>
      <c r="CM77" s="97">
        <f t="shared" si="61"/>
        <v>-3.5089235347026033</v>
      </c>
      <c r="CN77" s="97">
        <f t="shared" si="61"/>
        <v>-1048.0977980289847</v>
      </c>
      <c r="CO77" s="97">
        <f t="shared" si="61"/>
        <v>-938.23122130278693</v>
      </c>
      <c r="CP77" s="97">
        <f t="shared" si="61"/>
        <v>456.816526980292</v>
      </c>
      <c r="CQ77" s="97">
        <f t="shared" si="61"/>
        <v>118.113353640583</v>
      </c>
      <c r="CR77" s="97">
        <f t="shared" si="61"/>
        <v>-590.14595083769291</v>
      </c>
      <c r="CS77" s="97">
        <f t="shared" si="61"/>
        <v>-106.82432962335497</v>
      </c>
      <c r="CT77" s="97">
        <f t="shared" si="61"/>
        <v>-202.82170690784</v>
      </c>
      <c r="CU77" s="98">
        <f t="shared" si="61"/>
        <v>-76.294895011611175</v>
      </c>
      <c r="CV77" s="99">
        <f t="shared" si="75"/>
        <v>15958.799999999996</v>
      </c>
      <c r="CW77" s="99">
        <f t="shared" si="76"/>
        <v>4069.4940000000001</v>
      </c>
    </row>
    <row r="78" spans="1:101" hidden="1" outlineLevel="1" x14ac:dyDescent="0.35">
      <c r="A78">
        <v>76</v>
      </c>
      <c r="B78" s="100" t="s">
        <v>127</v>
      </c>
      <c r="C78" s="101" t="s">
        <v>200</v>
      </c>
      <c r="D78" s="102">
        <v>8400</v>
      </c>
      <c r="E78" s="103" t="s">
        <v>202</v>
      </c>
      <c r="F78" s="104" t="s">
        <v>203</v>
      </c>
      <c r="G78" s="63">
        <v>0.24</v>
      </c>
      <c r="H78" s="105" t="s">
        <v>182</v>
      </c>
      <c r="I78" s="65" t="s">
        <v>193</v>
      </c>
      <c r="J78" s="66" t="s">
        <v>195</v>
      </c>
      <c r="K78" s="106">
        <f t="shared" si="67"/>
        <v>75</v>
      </c>
      <c r="L78" s="107">
        <f t="shared" si="68"/>
        <v>110</v>
      </c>
      <c r="M78" s="107">
        <f t="shared" si="69"/>
        <v>134</v>
      </c>
      <c r="N78" s="108">
        <f t="shared" si="70"/>
        <v>150</v>
      </c>
      <c r="O78" s="109">
        <f t="shared" si="17"/>
        <v>630</v>
      </c>
      <c r="P78" s="110">
        <f t="shared" si="17"/>
        <v>924</v>
      </c>
      <c r="Q78" s="110">
        <f t="shared" si="17"/>
        <v>1125.5999999999999</v>
      </c>
      <c r="R78" s="111">
        <f t="shared" si="17"/>
        <v>1260</v>
      </c>
      <c r="S78" s="112">
        <f t="shared" si="18"/>
        <v>7862.4</v>
      </c>
      <c r="T78" s="110">
        <f t="shared" si="18"/>
        <v>11531.52</v>
      </c>
      <c r="U78" s="110">
        <f t="shared" si="18"/>
        <v>14047.487999999998</v>
      </c>
      <c r="V78" s="111">
        <f t="shared" si="18"/>
        <v>15724.8</v>
      </c>
      <c r="W78" s="113">
        <v>0.5</v>
      </c>
      <c r="X78" s="114">
        <f t="shared" si="77"/>
        <v>315</v>
      </c>
      <c r="Y78" s="115">
        <f t="shared" si="77"/>
        <v>462</v>
      </c>
      <c r="Z78" s="115">
        <f t="shared" si="77"/>
        <v>562.79999999999995</v>
      </c>
      <c r="AA78" s="116">
        <f t="shared" si="77"/>
        <v>630</v>
      </c>
      <c r="AB78" s="117">
        <f t="shared" si="77"/>
        <v>3931.2</v>
      </c>
      <c r="AC78" s="118">
        <f t="shared" si="77"/>
        <v>5765.76</v>
      </c>
      <c r="AD78" s="118">
        <f t="shared" si="77"/>
        <v>7023.7439999999988</v>
      </c>
      <c r="AE78" s="119">
        <f t="shared" si="77"/>
        <v>7862.4</v>
      </c>
      <c r="AF78" s="81"/>
      <c r="AG78" s="120">
        <f>IF(AF78="",0,HLOOKUP(AF78,$X$3:$AA$84,A78,FALSE))*52</f>
        <v>0</v>
      </c>
      <c r="AH78" s="121">
        <f>IF(AF78="",0,HLOOKUP(AF78,$X$3:$AA$84,A78,FALSE))*4.3</f>
        <v>0</v>
      </c>
      <c r="AI78" s="122">
        <f>IF(AF78="",0,HLOOKUP(AF78,$AB$3:$AE$84,A78,FALSE))</f>
        <v>0</v>
      </c>
      <c r="AJ78" s="123">
        <v>0.75</v>
      </c>
      <c r="AK78" s="86"/>
      <c r="AL78" s="87"/>
      <c r="AM78" s="87"/>
      <c r="AN78" s="88"/>
      <c r="AY78" s="89"/>
      <c r="AZ78" s="90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2"/>
      <c r="BL78" s="88"/>
      <c r="BW78" s="89"/>
      <c r="BX78" s="96"/>
      <c r="BY78" s="97"/>
      <c r="BZ78" s="97"/>
      <c r="CA78" s="97"/>
      <c r="CB78" s="97"/>
      <c r="CC78" s="97"/>
      <c r="CD78" s="97"/>
      <c r="CE78" s="97"/>
      <c r="CF78" s="97"/>
      <c r="CG78" s="97"/>
      <c r="CH78" s="97"/>
      <c r="CI78" s="98"/>
      <c r="CJ78" s="96">
        <f t="shared" si="62"/>
        <v>0</v>
      </c>
      <c r="CK78" s="97">
        <f t="shared" si="62"/>
        <v>0</v>
      </c>
      <c r="CL78" s="97">
        <f t="shared" si="62"/>
        <v>0</v>
      </c>
      <c r="CM78" s="97">
        <f t="shared" si="61"/>
        <v>0</v>
      </c>
      <c r="CN78" s="97">
        <f t="shared" si="61"/>
        <v>0</v>
      </c>
      <c r="CO78" s="97">
        <f t="shared" si="61"/>
        <v>0</v>
      </c>
      <c r="CP78" s="97">
        <f t="shared" si="61"/>
        <v>0</v>
      </c>
      <c r="CQ78" s="97">
        <f t="shared" si="61"/>
        <v>0</v>
      </c>
      <c r="CR78" s="97">
        <f t="shared" si="61"/>
        <v>0</v>
      </c>
      <c r="CS78" s="97">
        <f t="shared" si="61"/>
        <v>0</v>
      </c>
      <c r="CT78" s="97">
        <f t="shared" si="61"/>
        <v>0</v>
      </c>
      <c r="CU78" s="98">
        <f t="shared" si="61"/>
        <v>0</v>
      </c>
      <c r="CV78" s="99">
        <f t="shared" si="75"/>
        <v>0</v>
      </c>
      <c r="CW78" s="99">
        <f t="shared" si="76"/>
        <v>0</v>
      </c>
    </row>
    <row r="79" spans="1:101" hidden="1" outlineLevel="1" x14ac:dyDescent="0.35">
      <c r="A79">
        <v>77</v>
      </c>
      <c r="B79" s="100" t="s">
        <v>127</v>
      </c>
      <c r="C79" s="101" t="s">
        <v>200</v>
      </c>
      <c r="D79" s="102">
        <v>6240</v>
      </c>
      <c r="E79" s="103" t="s">
        <v>202</v>
      </c>
      <c r="F79" s="104">
        <v>660</v>
      </c>
      <c r="G79" s="63">
        <v>0.34</v>
      </c>
      <c r="H79" s="105" t="s">
        <v>182</v>
      </c>
      <c r="I79" s="65" t="s">
        <v>193</v>
      </c>
      <c r="J79" s="66" t="s">
        <v>196</v>
      </c>
      <c r="K79" s="106">
        <f t="shared" si="67"/>
        <v>75</v>
      </c>
      <c r="L79" s="107">
        <f t="shared" si="68"/>
        <v>110</v>
      </c>
      <c r="M79" s="107">
        <f t="shared" si="69"/>
        <v>134</v>
      </c>
      <c r="N79" s="108">
        <f t="shared" si="70"/>
        <v>150</v>
      </c>
      <c r="O79" s="109">
        <f t="shared" si="17"/>
        <v>468</v>
      </c>
      <c r="P79" s="110">
        <f t="shared" si="17"/>
        <v>686.4</v>
      </c>
      <c r="Q79" s="110">
        <f t="shared" si="17"/>
        <v>836.16</v>
      </c>
      <c r="R79" s="111">
        <f t="shared" si="17"/>
        <v>936</v>
      </c>
      <c r="S79" s="112">
        <f t="shared" si="18"/>
        <v>8274.24</v>
      </c>
      <c r="T79" s="110">
        <f t="shared" si="18"/>
        <v>12135.552</v>
      </c>
      <c r="U79" s="110">
        <f t="shared" si="18"/>
        <v>14783.308799999999</v>
      </c>
      <c r="V79" s="111">
        <f t="shared" si="18"/>
        <v>16548.48</v>
      </c>
      <c r="W79" s="113">
        <v>0.5</v>
      </c>
      <c r="X79" s="114">
        <f t="shared" si="77"/>
        <v>234</v>
      </c>
      <c r="Y79" s="115">
        <f t="shared" si="77"/>
        <v>343.2</v>
      </c>
      <c r="Z79" s="115">
        <f t="shared" si="77"/>
        <v>418.08</v>
      </c>
      <c r="AA79" s="116">
        <f t="shared" si="77"/>
        <v>468</v>
      </c>
      <c r="AB79" s="117">
        <f t="shared" si="77"/>
        <v>4137.12</v>
      </c>
      <c r="AC79" s="118">
        <f t="shared" si="77"/>
        <v>6067.7759999999998</v>
      </c>
      <c r="AD79" s="118">
        <f t="shared" si="77"/>
        <v>7391.6543999999994</v>
      </c>
      <c r="AE79" s="119">
        <f t="shared" si="77"/>
        <v>8274.24</v>
      </c>
      <c r="AF79" s="81"/>
      <c r="AG79" s="120">
        <f t="shared" ref="AG79:AG84" si="86">IF(AF79="",0,HLOOKUP(AF79,$X$3:$AA$84,A79,FALSE))*52</f>
        <v>0</v>
      </c>
      <c r="AH79" s="121">
        <f t="shared" ref="AH79:AH84" si="87">IF(AF79="",0,HLOOKUP(AF79,$X$3:$AA$84,A79,FALSE))*4.3</f>
        <v>0</v>
      </c>
      <c r="AI79" s="122">
        <f t="shared" ref="AI79:AI84" si="88">IF(AF79="",0,HLOOKUP(AF79,$AB$3:$AE$84,A79,FALSE))</f>
        <v>0</v>
      </c>
      <c r="AJ79" s="123">
        <v>0.75</v>
      </c>
      <c r="AL79" s="87"/>
      <c r="AM79" s="87"/>
      <c r="AN79" s="88"/>
      <c r="AY79" s="89"/>
      <c r="AZ79" s="90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2"/>
      <c r="BL79" s="88"/>
      <c r="BW79" s="89"/>
      <c r="BX79" s="96"/>
      <c r="BY79" s="97"/>
      <c r="BZ79" s="97"/>
      <c r="CA79" s="97"/>
      <c r="CB79" s="97"/>
      <c r="CC79" s="97"/>
      <c r="CD79" s="97"/>
      <c r="CE79" s="97"/>
      <c r="CF79" s="97"/>
      <c r="CG79" s="97"/>
      <c r="CH79" s="97"/>
      <c r="CI79" s="98"/>
      <c r="CJ79" s="96">
        <f t="shared" si="62"/>
        <v>0</v>
      </c>
      <c r="CK79" s="97">
        <f t="shared" si="62"/>
        <v>0</v>
      </c>
      <c r="CL79" s="97">
        <f t="shared" si="62"/>
        <v>0</v>
      </c>
      <c r="CM79" s="97">
        <f t="shared" si="61"/>
        <v>0</v>
      </c>
      <c r="CN79" s="97">
        <f t="shared" si="61"/>
        <v>0</v>
      </c>
      <c r="CO79" s="97">
        <f t="shared" si="61"/>
        <v>0</v>
      </c>
      <c r="CP79" s="97">
        <f t="shared" si="61"/>
        <v>0</v>
      </c>
      <c r="CQ79" s="97">
        <f t="shared" si="61"/>
        <v>0</v>
      </c>
      <c r="CR79" s="97">
        <f t="shared" si="61"/>
        <v>0</v>
      </c>
      <c r="CS79" s="97">
        <f t="shared" si="61"/>
        <v>0</v>
      </c>
      <c r="CT79" s="97">
        <f t="shared" si="61"/>
        <v>0</v>
      </c>
      <c r="CU79" s="98">
        <f t="shared" si="61"/>
        <v>0</v>
      </c>
      <c r="CV79" s="99">
        <f t="shared" si="75"/>
        <v>0</v>
      </c>
      <c r="CW79" s="99">
        <f t="shared" si="76"/>
        <v>0</v>
      </c>
    </row>
    <row r="80" spans="1:101" hidden="1" outlineLevel="1" x14ac:dyDescent="0.35">
      <c r="A80">
        <v>78</v>
      </c>
      <c r="B80" s="100" t="s">
        <v>127</v>
      </c>
      <c r="C80" s="101" t="s">
        <v>200</v>
      </c>
      <c r="D80" s="102">
        <v>6480</v>
      </c>
      <c r="E80" s="103" t="s">
        <v>204</v>
      </c>
      <c r="F80" s="104">
        <v>400</v>
      </c>
      <c r="G80" s="63">
        <v>0.27</v>
      </c>
      <c r="H80" s="105" t="s">
        <v>198</v>
      </c>
      <c r="I80" s="65" t="s">
        <v>193</v>
      </c>
      <c r="J80" s="66" t="s">
        <v>199</v>
      </c>
      <c r="K80" s="106">
        <f t="shared" si="67"/>
        <v>75</v>
      </c>
      <c r="L80" s="107">
        <f t="shared" si="68"/>
        <v>110</v>
      </c>
      <c r="M80" s="107">
        <f t="shared" si="69"/>
        <v>134</v>
      </c>
      <c r="N80" s="108">
        <f t="shared" si="70"/>
        <v>150</v>
      </c>
      <c r="O80" s="109">
        <f t="shared" si="17"/>
        <v>486</v>
      </c>
      <c r="P80" s="110">
        <f t="shared" si="17"/>
        <v>712.8</v>
      </c>
      <c r="Q80" s="110">
        <f t="shared" si="17"/>
        <v>868.32</v>
      </c>
      <c r="R80" s="111">
        <f t="shared" si="17"/>
        <v>972</v>
      </c>
      <c r="S80" s="112">
        <f t="shared" si="18"/>
        <v>6823.44</v>
      </c>
      <c r="T80" s="110">
        <f t="shared" si="18"/>
        <v>10007.712</v>
      </c>
      <c r="U80" s="110">
        <f t="shared" si="18"/>
        <v>12191.212800000001</v>
      </c>
      <c r="V80" s="111">
        <f t="shared" si="18"/>
        <v>13646.88</v>
      </c>
      <c r="W80" s="113">
        <v>0.5</v>
      </c>
      <c r="X80" s="114">
        <f t="shared" si="77"/>
        <v>243</v>
      </c>
      <c r="Y80" s="115">
        <f t="shared" si="77"/>
        <v>356.4</v>
      </c>
      <c r="Z80" s="115">
        <f t="shared" si="77"/>
        <v>434.16</v>
      </c>
      <c r="AA80" s="116">
        <f t="shared" si="77"/>
        <v>486</v>
      </c>
      <c r="AB80" s="117">
        <f t="shared" si="77"/>
        <v>3411.72</v>
      </c>
      <c r="AC80" s="118">
        <f t="shared" si="77"/>
        <v>5003.8559999999998</v>
      </c>
      <c r="AD80" s="118">
        <f t="shared" si="77"/>
        <v>6095.6064000000006</v>
      </c>
      <c r="AE80" s="119">
        <f t="shared" si="77"/>
        <v>6823.44</v>
      </c>
      <c r="AF80" s="81"/>
      <c r="AG80" s="120">
        <f t="shared" si="86"/>
        <v>0</v>
      </c>
      <c r="AH80" s="121">
        <f t="shared" si="87"/>
        <v>0</v>
      </c>
      <c r="AI80" s="122">
        <f t="shared" si="88"/>
        <v>0</v>
      </c>
      <c r="AJ80" s="123">
        <v>0.75</v>
      </c>
      <c r="AL80" s="87"/>
      <c r="AM80" s="87"/>
      <c r="AN80" s="88"/>
      <c r="AY80" s="89"/>
      <c r="AZ80" s="90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2"/>
      <c r="BL80" s="88"/>
      <c r="BW80" s="89"/>
      <c r="BX80" s="96"/>
      <c r="BY80" s="97"/>
      <c r="BZ80" s="97"/>
      <c r="CA80" s="97"/>
      <c r="CB80" s="97"/>
      <c r="CC80" s="97"/>
      <c r="CD80" s="97"/>
      <c r="CE80" s="97"/>
      <c r="CF80" s="97"/>
      <c r="CG80" s="97"/>
      <c r="CH80" s="97"/>
      <c r="CI80" s="98"/>
      <c r="CJ80" s="96">
        <f t="shared" si="62"/>
        <v>0</v>
      </c>
      <c r="CK80" s="97">
        <f t="shared" si="62"/>
        <v>0</v>
      </c>
      <c r="CL80" s="97">
        <f t="shared" si="62"/>
        <v>0</v>
      </c>
      <c r="CM80" s="97">
        <f t="shared" si="61"/>
        <v>0</v>
      </c>
      <c r="CN80" s="97">
        <f t="shared" si="61"/>
        <v>0</v>
      </c>
      <c r="CO80" s="97">
        <f t="shared" si="61"/>
        <v>0</v>
      </c>
      <c r="CP80" s="97">
        <f t="shared" si="61"/>
        <v>0</v>
      </c>
      <c r="CQ80" s="97">
        <f t="shared" si="61"/>
        <v>0</v>
      </c>
      <c r="CR80" s="97">
        <f t="shared" si="61"/>
        <v>0</v>
      </c>
      <c r="CS80" s="97">
        <f t="shared" si="61"/>
        <v>0</v>
      </c>
      <c r="CT80" s="97">
        <f t="shared" si="61"/>
        <v>0</v>
      </c>
      <c r="CU80" s="98">
        <f t="shared" si="61"/>
        <v>0</v>
      </c>
      <c r="CV80" s="99">
        <f t="shared" si="75"/>
        <v>0</v>
      </c>
      <c r="CW80" s="99">
        <f t="shared" si="76"/>
        <v>0</v>
      </c>
    </row>
    <row r="81" spans="1:101" collapsed="1" x14ac:dyDescent="0.35">
      <c r="A81">
        <v>79</v>
      </c>
      <c r="B81" s="100" t="s">
        <v>127</v>
      </c>
      <c r="C81" s="101" t="s">
        <v>205</v>
      </c>
      <c r="D81" s="125">
        <v>10380</v>
      </c>
      <c r="E81" s="103"/>
      <c r="F81" s="104" t="s">
        <v>206</v>
      </c>
      <c r="G81" s="63">
        <v>0.42</v>
      </c>
      <c r="H81" s="105" t="s">
        <v>182</v>
      </c>
      <c r="I81" s="65" t="s">
        <v>207</v>
      </c>
      <c r="J81" s="66" t="s">
        <v>207</v>
      </c>
      <c r="K81" s="106">
        <f t="shared" si="67"/>
        <v>75</v>
      </c>
      <c r="L81" s="107">
        <f t="shared" si="68"/>
        <v>110</v>
      </c>
      <c r="M81" s="107">
        <f t="shared" si="69"/>
        <v>134</v>
      </c>
      <c r="N81" s="108">
        <f t="shared" si="70"/>
        <v>150</v>
      </c>
      <c r="O81" s="109">
        <f t="shared" si="17"/>
        <v>778.5</v>
      </c>
      <c r="P81" s="110">
        <f t="shared" si="17"/>
        <v>1141.8</v>
      </c>
      <c r="Q81" s="110">
        <f t="shared" si="17"/>
        <v>1390.92</v>
      </c>
      <c r="R81" s="111">
        <f t="shared" si="17"/>
        <v>1557</v>
      </c>
      <c r="S81" s="112">
        <f t="shared" si="18"/>
        <v>17002.439999999999</v>
      </c>
      <c r="T81" s="110">
        <f t="shared" si="18"/>
        <v>24936.912</v>
      </c>
      <c r="U81" s="110">
        <f t="shared" si="18"/>
        <v>30377.692800000004</v>
      </c>
      <c r="V81" s="111">
        <f t="shared" si="18"/>
        <v>34004.879999999997</v>
      </c>
      <c r="W81" s="113">
        <v>0.5</v>
      </c>
      <c r="X81" s="114">
        <f t="shared" si="77"/>
        <v>389.25</v>
      </c>
      <c r="Y81" s="115">
        <f t="shared" si="77"/>
        <v>570.9</v>
      </c>
      <c r="Z81" s="115">
        <f t="shared" si="77"/>
        <v>695.46</v>
      </c>
      <c r="AA81" s="116">
        <f t="shared" si="77"/>
        <v>778.5</v>
      </c>
      <c r="AB81" s="117">
        <f t="shared" si="77"/>
        <v>8501.2199999999993</v>
      </c>
      <c r="AC81" s="118">
        <f t="shared" si="77"/>
        <v>12468.456</v>
      </c>
      <c r="AD81" s="118">
        <f t="shared" si="77"/>
        <v>15188.846400000002</v>
      </c>
      <c r="AE81" s="119">
        <f t="shared" si="77"/>
        <v>17002.439999999999</v>
      </c>
      <c r="AF81" s="81" t="s">
        <v>32</v>
      </c>
      <c r="AG81" s="120">
        <f t="shared" si="86"/>
        <v>29686.799999999999</v>
      </c>
      <c r="AH81" s="121">
        <f t="shared" si="87"/>
        <v>2454.87</v>
      </c>
      <c r="AI81" s="122">
        <f t="shared" si="88"/>
        <v>12468.456</v>
      </c>
      <c r="AJ81" s="123">
        <v>0.75</v>
      </c>
      <c r="AK81" s="86">
        <f>SUM(AN81:AY81)</f>
        <v>19480.82860267604</v>
      </c>
      <c r="AL81" s="87">
        <f>AK81/AG81</f>
        <v>0.65621180466321871</v>
      </c>
      <c r="AM81" s="87">
        <f t="shared" si="71"/>
        <v>0.87494907288429158</v>
      </c>
      <c r="AN81" s="88">
        <v>1565.3075962713847</v>
      </c>
      <c r="AO81">
        <v>1392.989174695899</v>
      </c>
      <c r="AP81">
        <v>1479.9794551760704</v>
      </c>
      <c r="AQ81">
        <v>1696.7340131580445</v>
      </c>
      <c r="AR81">
        <v>1598.2917707036877</v>
      </c>
      <c r="AS81">
        <v>1626.4230374977828</v>
      </c>
      <c r="AT81">
        <v>1605.6226883708218</v>
      </c>
      <c r="AU81">
        <v>1498.5122832600016</v>
      </c>
      <c r="AV81">
        <v>2026.9460963364988</v>
      </c>
      <c r="AW81">
        <v>1719.428257106345</v>
      </c>
      <c r="AX81">
        <v>1673.7263811613673</v>
      </c>
      <c r="AY81" s="89">
        <v>1596.8678489381386</v>
      </c>
      <c r="AZ81" s="90">
        <f t="shared" ref="AZ81:BK81" si="89">AZ$1*HLOOKUP($AF81,$X$3:$AA$84,$A81,FALSE)</f>
        <v>2854.5</v>
      </c>
      <c r="BA81" s="91">
        <f t="shared" si="89"/>
        <v>2283.6</v>
      </c>
      <c r="BB81" s="91">
        <f t="shared" si="89"/>
        <v>2283.6</v>
      </c>
      <c r="BC81" s="91">
        <f t="shared" si="89"/>
        <v>2854.5</v>
      </c>
      <c r="BD81" s="91">
        <f t="shared" si="89"/>
        <v>2283.6</v>
      </c>
      <c r="BE81" s="91">
        <f t="shared" si="89"/>
        <v>2283.6</v>
      </c>
      <c r="BF81" s="91">
        <f t="shared" si="89"/>
        <v>2854.5</v>
      </c>
      <c r="BG81" s="91">
        <f t="shared" si="89"/>
        <v>2283.6</v>
      </c>
      <c r="BH81" s="91">
        <f t="shared" si="89"/>
        <v>2283.6</v>
      </c>
      <c r="BI81" s="91">
        <f t="shared" si="89"/>
        <v>2854.5</v>
      </c>
      <c r="BJ81" s="91">
        <f t="shared" si="89"/>
        <v>2283.6</v>
      </c>
      <c r="BK81" s="92">
        <f t="shared" si="89"/>
        <v>2283.6</v>
      </c>
      <c r="BL81" s="93">
        <f t="shared" ref="BL81:BW81" si="90">AN81/AZ81</f>
        <v>0.54836489622399187</v>
      </c>
      <c r="BM81" s="94">
        <f t="shared" si="90"/>
        <v>0.60999701116478322</v>
      </c>
      <c r="BN81" s="94">
        <f t="shared" si="90"/>
        <v>0.64809049534772745</v>
      </c>
      <c r="BO81" s="94">
        <f t="shared" si="90"/>
        <v>0.59440673083133455</v>
      </c>
      <c r="BP81" s="94">
        <f t="shared" si="90"/>
        <v>0.69990005723580651</v>
      </c>
      <c r="BQ81" s="94">
        <f t="shared" si="90"/>
        <v>0.71221888137054779</v>
      </c>
      <c r="BR81" s="94">
        <f t="shared" si="90"/>
        <v>0.5624882425541502</v>
      </c>
      <c r="BS81" s="94">
        <f t="shared" si="90"/>
        <v>0.65620611458223932</v>
      </c>
      <c r="BT81" s="94">
        <f t="shared" si="90"/>
        <v>0.88760995635684836</v>
      </c>
      <c r="BU81" s="94">
        <f t="shared" si="90"/>
        <v>0.60235707027722718</v>
      </c>
      <c r="BV81" s="94">
        <f t="shared" si="90"/>
        <v>0.73293325501899076</v>
      </c>
      <c r="BW81" s="95">
        <f t="shared" si="90"/>
        <v>0.69927651468652074</v>
      </c>
      <c r="BX81" s="96">
        <f t="shared" si="74"/>
        <v>1289.1924037286153</v>
      </c>
      <c r="BY81" s="97">
        <f t="shared" si="74"/>
        <v>890.6108253041009</v>
      </c>
      <c r="BZ81" s="97">
        <f t="shared" si="74"/>
        <v>803.62054482392955</v>
      </c>
      <c r="CA81" s="97">
        <f t="shared" si="74"/>
        <v>1157.7659868419555</v>
      </c>
      <c r="CB81" s="97">
        <f t="shared" si="74"/>
        <v>685.30822929631222</v>
      </c>
      <c r="CC81" s="97">
        <f t="shared" si="74"/>
        <v>657.17696250221707</v>
      </c>
      <c r="CD81" s="97">
        <f t="shared" si="74"/>
        <v>1248.8773116291782</v>
      </c>
      <c r="CE81" s="97">
        <f t="shared" si="74"/>
        <v>785.08771673999831</v>
      </c>
      <c r="CF81" s="97">
        <f t="shared" si="74"/>
        <v>256.65390366350107</v>
      </c>
      <c r="CG81" s="97">
        <f t="shared" si="74"/>
        <v>1135.071742893655</v>
      </c>
      <c r="CH81" s="97">
        <f t="shared" si="74"/>
        <v>609.87361883863264</v>
      </c>
      <c r="CI81" s="98">
        <f t="shared" si="74"/>
        <v>686.73215106186126</v>
      </c>
      <c r="CJ81" s="96">
        <f t="shared" si="62"/>
        <v>966.89430279646149</v>
      </c>
      <c r="CK81" s="97">
        <f t="shared" si="62"/>
        <v>667.95811897807562</v>
      </c>
      <c r="CL81" s="97">
        <f t="shared" si="62"/>
        <v>602.71540861794711</v>
      </c>
      <c r="CM81" s="97">
        <f t="shared" si="61"/>
        <v>868.32449013146663</v>
      </c>
      <c r="CN81" s="97">
        <f t="shared" si="61"/>
        <v>513.98117197223416</v>
      </c>
      <c r="CO81" s="97">
        <f t="shared" si="61"/>
        <v>492.8827218766628</v>
      </c>
      <c r="CP81" s="97">
        <f t="shared" si="61"/>
        <v>936.65798372188362</v>
      </c>
      <c r="CQ81" s="97">
        <f t="shared" si="61"/>
        <v>588.81578755499868</v>
      </c>
      <c r="CR81" s="97">
        <f t="shared" si="61"/>
        <v>192.4904277476258</v>
      </c>
      <c r="CS81" s="97">
        <f t="shared" si="61"/>
        <v>851.30380717024127</v>
      </c>
      <c r="CT81" s="97">
        <f t="shared" si="61"/>
        <v>457.40521412897448</v>
      </c>
      <c r="CU81" s="98">
        <f t="shared" si="61"/>
        <v>515.04911329639594</v>
      </c>
      <c r="CV81" s="99">
        <f t="shared" si="75"/>
        <v>22265.1</v>
      </c>
      <c r="CW81" s="99">
        <f t="shared" si="76"/>
        <v>9351.3420000000006</v>
      </c>
    </row>
    <row r="82" spans="1:101" hidden="1" outlineLevel="1" x14ac:dyDescent="0.35">
      <c r="A82">
        <v>80</v>
      </c>
      <c r="B82" s="58" t="s">
        <v>127</v>
      </c>
      <c r="C82" s="59" t="s">
        <v>205</v>
      </c>
      <c r="D82" s="60">
        <v>8460</v>
      </c>
      <c r="E82" s="103" t="s">
        <v>208</v>
      </c>
      <c r="F82" s="62">
        <v>200</v>
      </c>
      <c r="G82" s="63">
        <v>0.6</v>
      </c>
      <c r="H82" s="105" t="s">
        <v>209</v>
      </c>
      <c r="I82" s="65" t="s">
        <v>142</v>
      </c>
      <c r="J82" s="66" t="s">
        <v>210</v>
      </c>
      <c r="K82" s="106">
        <f t="shared" si="67"/>
        <v>75</v>
      </c>
      <c r="L82" s="107">
        <f t="shared" si="68"/>
        <v>110</v>
      </c>
      <c r="M82" s="107">
        <f t="shared" si="69"/>
        <v>134</v>
      </c>
      <c r="N82" s="108">
        <f t="shared" si="70"/>
        <v>150</v>
      </c>
      <c r="O82" s="70">
        <f t="shared" si="17"/>
        <v>634.5</v>
      </c>
      <c r="P82" s="71">
        <f t="shared" si="17"/>
        <v>930.6</v>
      </c>
      <c r="Q82" s="71">
        <f t="shared" si="17"/>
        <v>1133.6400000000001</v>
      </c>
      <c r="R82" s="72">
        <f t="shared" si="17"/>
        <v>1269</v>
      </c>
      <c r="S82" s="73">
        <f t="shared" si="18"/>
        <v>19796.399999999998</v>
      </c>
      <c r="T82" s="71">
        <f t="shared" si="18"/>
        <v>29034.720000000001</v>
      </c>
      <c r="U82" s="71">
        <f t="shared" si="18"/>
        <v>35369.568000000007</v>
      </c>
      <c r="V82" s="72">
        <f t="shared" si="18"/>
        <v>39592.799999999996</v>
      </c>
      <c r="W82" s="162">
        <v>0.55000000000000004</v>
      </c>
      <c r="X82" s="75">
        <f t="shared" si="77"/>
        <v>348.97500000000002</v>
      </c>
      <c r="Y82" s="76">
        <f t="shared" si="77"/>
        <v>511.83000000000004</v>
      </c>
      <c r="Z82" s="76">
        <f t="shared" si="77"/>
        <v>623.50200000000007</v>
      </c>
      <c r="AA82" s="77">
        <f t="shared" si="77"/>
        <v>697.95</v>
      </c>
      <c r="AB82" s="78">
        <f t="shared" si="77"/>
        <v>10888.02</v>
      </c>
      <c r="AC82" s="79">
        <f t="shared" si="77"/>
        <v>15969.096000000001</v>
      </c>
      <c r="AD82" s="79">
        <f t="shared" si="77"/>
        <v>19453.262400000007</v>
      </c>
      <c r="AE82" s="80">
        <f t="shared" si="77"/>
        <v>21776.04</v>
      </c>
      <c r="AF82" s="81"/>
      <c r="AG82" s="120">
        <f t="shared" si="86"/>
        <v>0</v>
      </c>
      <c r="AH82" s="121">
        <f t="shared" si="87"/>
        <v>0</v>
      </c>
      <c r="AI82" s="122">
        <f t="shared" si="88"/>
        <v>0</v>
      </c>
      <c r="AJ82" s="123">
        <v>0.9</v>
      </c>
      <c r="AK82" s="86"/>
      <c r="AL82" s="87"/>
      <c r="AM82" s="87"/>
      <c r="AN82" s="88"/>
      <c r="AY82" s="89"/>
      <c r="AZ82" s="90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2"/>
      <c r="BL82" s="93"/>
      <c r="BM82" s="94"/>
      <c r="BN82" s="94"/>
      <c r="BO82" s="94"/>
      <c r="BP82" s="94"/>
      <c r="BQ82" s="94"/>
      <c r="BR82" s="94"/>
      <c r="BS82" s="94"/>
      <c r="BT82" s="94"/>
      <c r="BU82" s="94"/>
      <c r="BV82" s="94"/>
      <c r="BW82" s="95"/>
      <c r="BX82" s="96"/>
      <c r="BY82" s="97"/>
      <c r="BZ82" s="97"/>
      <c r="CA82" s="97"/>
      <c r="CB82" s="97"/>
      <c r="CC82" s="97"/>
      <c r="CD82" s="97"/>
      <c r="CE82" s="97"/>
      <c r="CF82" s="97"/>
      <c r="CG82" s="97"/>
      <c r="CH82" s="97"/>
      <c r="CI82" s="98"/>
      <c r="CJ82" s="96"/>
      <c r="CK82" s="97"/>
      <c r="CL82" s="97"/>
      <c r="CM82" s="97"/>
      <c r="CN82" s="97"/>
      <c r="CO82" s="97"/>
      <c r="CP82" s="97"/>
      <c r="CQ82" s="97"/>
      <c r="CR82" s="97"/>
      <c r="CS82" s="97"/>
      <c r="CT82" s="97"/>
      <c r="CU82" s="98"/>
      <c r="CV82" s="99">
        <f t="shared" si="75"/>
        <v>0</v>
      </c>
      <c r="CW82" s="99">
        <f t="shared" si="76"/>
        <v>0</v>
      </c>
    </row>
    <row r="83" spans="1:101" hidden="1" outlineLevel="1" x14ac:dyDescent="0.35">
      <c r="A83">
        <v>81</v>
      </c>
      <c r="B83" s="100" t="s">
        <v>127</v>
      </c>
      <c r="C83" s="101" t="s">
        <v>205</v>
      </c>
      <c r="D83" s="102">
        <v>12600</v>
      </c>
      <c r="E83" s="103" t="s">
        <v>211</v>
      </c>
      <c r="F83" s="104">
        <v>580</v>
      </c>
      <c r="G83" s="63">
        <v>0.24</v>
      </c>
      <c r="H83" s="105" t="s">
        <v>182</v>
      </c>
      <c r="I83" s="65" t="s">
        <v>193</v>
      </c>
      <c r="J83" s="66" t="s">
        <v>195</v>
      </c>
      <c r="K83" s="106">
        <f t="shared" si="67"/>
        <v>75</v>
      </c>
      <c r="L83" s="107">
        <f t="shared" si="68"/>
        <v>110</v>
      </c>
      <c r="M83" s="107">
        <f t="shared" si="69"/>
        <v>134</v>
      </c>
      <c r="N83" s="108">
        <f t="shared" si="70"/>
        <v>150</v>
      </c>
      <c r="O83" s="109">
        <f t="shared" si="17"/>
        <v>945</v>
      </c>
      <c r="P83" s="110">
        <f t="shared" si="17"/>
        <v>1386</v>
      </c>
      <c r="Q83" s="110">
        <f t="shared" si="17"/>
        <v>1688.4</v>
      </c>
      <c r="R83" s="111">
        <f t="shared" si="17"/>
        <v>1890</v>
      </c>
      <c r="S83" s="112">
        <f t="shared" si="18"/>
        <v>11793.599999999999</v>
      </c>
      <c r="T83" s="110">
        <f t="shared" si="18"/>
        <v>17297.28</v>
      </c>
      <c r="U83" s="110">
        <f t="shared" si="18"/>
        <v>21071.232</v>
      </c>
      <c r="V83" s="111">
        <f t="shared" si="18"/>
        <v>23587.199999999997</v>
      </c>
      <c r="W83" s="145">
        <v>0.55000000000000004</v>
      </c>
      <c r="X83" s="114">
        <f t="shared" si="77"/>
        <v>519.75</v>
      </c>
      <c r="Y83" s="115">
        <f t="shared" si="77"/>
        <v>762.30000000000007</v>
      </c>
      <c r="Z83" s="115">
        <f t="shared" si="77"/>
        <v>928.62000000000012</v>
      </c>
      <c r="AA83" s="116">
        <f t="shared" si="77"/>
        <v>1039.5</v>
      </c>
      <c r="AB83" s="117">
        <f t="shared" si="77"/>
        <v>6486.48</v>
      </c>
      <c r="AC83" s="118">
        <f t="shared" si="77"/>
        <v>9513.5040000000008</v>
      </c>
      <c r="AD83" s="118">
        <f t="shared" si="77"/>
        <v>11589.177600000001</v>
      </c>
      <c r="AE83" s="119">
        <f t="shared" si="77"/>
        <v>12972.96</v>
      </c>
      <c r="AF83" s="81"/>
      <c r="AG83" s="120">
        <f t="shared" si="86"/>
        <v>0</v>
      </c>
      <c r="AH83" s="121">
        <f t="shared" si="87"/>
        <v>0</v>
      </c>
      <c r="AI83" s="122">
        <f t="shared" si="88"/>
        <v>0</v>
      </c>
      <c r="AJ83" s="123">
        <v>0.75</v>
      </c>
      <c r="AK83" s="86"/>
      <c r="AL83" s="87"/>
      <c r="AM83" s="87"/>
      <c r="AN83" s="88"/>
      <c r="AY83" s="89"/>
      <c r="AZ83" s="90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2"/>
      <c r="BL83" s="93"/>
      <c r="BM83" s="94"/>
      <c r="BN83" s="94"/>
      <c r="BO83" s="94"/>
      <c r="BP83" s="94"/>
      <c r="BQ83" s="94"/>
      <c r="BR83" s="94"/>
      <c r="BS83" s="94"/>
      <c r="BT83" s="94"/>
      <c r="BU83" s="94"/>
      <c r="BV83" s="94"/>
      <c r="BW83" s="95"/>
      <c r="BX83" s="96"/>
      <c r="BY83" s="97"/>
      <c r="BZ83" s="97"/>
      <c r="CA83" s="97"/>
      <c r="CB83" s="97"/>
      <c r="CC83" s="97"/>
      <c r="CD83" s="97"/>
      <c r="CE83" s="97"/>
      <c r="CF83" s="97"/>
      <c r="CG83" s="97"/>
      <c r="CH83" s="97"/>
      <c r="CI83" s="98"/>
      <c r="CJ83" s="96"/>
      <c r="CK83" s="97"/>
      <c r="CL83" s="97"/>
      <c r="CM83" s="97"/>
      <c r="CN83" s="97"/>
      <c r="CO83" s="97"/>
      <c r="CP83" s="97"/>
      <c r="CQ83" s="97"/>
      <c r="CR83" s="97"/>
      <c r="CS83" s="97"/>
      <c r="CT83" s="97"/>
      <c r="CU83" s="98"/>
      <c r="CV83" s="99">
        <f t="shared" si="75"/>
        <v>0</v>
      </c>
      <c r="CW83" s="99">
        <f t="shared" si="76"/>
        <v>0</v>
      </c>
    </row>
    <row r="84" spans="1:101" hidden="1" outlineLevel="1" x14ac:dyDescent="0.35">
      <c r="A84">
        <v>82</v>
      </c>
      <c r="B84" s="163" t="s">
        <v>127</v>
      </c>
      <c r="C84" s="164" t="s">
        <v>205</v>
      </c>
      <c r="D84" s="165">
        <v>10080</v>
      </c>
      <c r="E84" s="166" t="s">
        <v>212</v>
      </c>
      <c r="F84" s="167" t="s">
        <v>213</v>
      </c>
      <c r="G84" s="168">
        <v>0.34</v>
      </c>
      <c r="H84" s="169" t="s">
        <v>182</v>
      </c>
      <c r="I84" s="170" t="s">
        <v>193</v>
      </c>
      <c r="J84" s="171" t="s">
        <v>196</v>
      </c>
      <c r="K84" s="172">
        <f t="shared" si="67"/>
        <v>75</v>
      </c>
      <c r="L84" s="173">
        <f t="shared" si="68"/>
        <v>110</v>
      </c>
      <c r="M84" s="173">
        <f t="shared" si="69"/>
        <v>134</v>
      </c>
      <c r="N84" s="174">
        <f t="shared" si="70"/>
        <v>150</v>
      </c>
      <c r="O84" s="175">
        <f t="shared" si="17"/>
        <v>756</v>
      </c>
      <c r="P84" s="176">
        <f t="shared" si="17"/>
        <v>1108.8</v>
      </c>
      <c r="Q84" s="176">
        <f t="shared" si="17"/>
        <v>1350.72</v>
      </c>
      <c r="R84" s="177">
        <f t="shared" si="17"/>
        <v>1512</v>
      </c>
      <c r="S84" s="178">
        <f t="shared" si="18"/>
        <v>13366.080000000002</v>
      </c>
      <c r="T84" s="176">
        <f t="shared" si="18"/>
        <v>19603.584000000003</v>
      </c>
      <c r="U84" s="176">
        <f t="shared" si="18"/>
        <v>23880.729600000002</v>
      </c>
      <c r="V84" s="177">
        <f t="shared" si="18"/>
        <v>26732.160000000003</v>
      </c>
      <c r="W84" s="179">
        <v>0.55000000000000004</v>
      </c>
      <c r="X84" s="180">
        <f t="shared" si="77"/>
        <v>415.8</v>
      </c>
      <c r="Y84" s="181">
        <f t="shared" si="77"/>
        <v>609.84</v>
      </c>
      <c r="Z84" s="181">
        <f t="shared" si="77"/>
        <v>742.89600000000007</v>
      </c>
      <c r="AA84" s="182">
        <f t="shared" si="77"/>
        <v>831.6</v>
      </c>
      <c r="AB84" s="183">
        <f t="shared" si="77"/>
        <v>7351.3440000000019</v>
      </c>
      <c r="AC84" s="184">
        <f t="shared" si="77"/>
        <v>10781.971200000002</v>
      </c>
      <c r="AD84" s="184">
        <f t="shared" si="77"/>
        <v>13134.401280000002</v>
      </c>
      <c r="AE84" s="185">
        <f t="shared" si="77"/>
        <v>14702.688000000004</v>
      </c>
      <c r="AF84" s="186"/>
      <c r="AG84" s="187">
        <f t="shared" si="86"/>
        <v>0</v>
      </c>
      <c r="AH84" s="188">
        <f t="shared" si="87"/>
        <v>0</v>
      </c>
      <c r="AI84" s="189">
        <f t="shared" si="88"/>
        <v>0</v>
      </c>
      <c r="AJ84" s="190">
        <v>0.75</v>
      </c>
      <c r="AK84" s="86"/>
      <c r="AL84" s="87"/>
      <c r="AM84" s="87"/>
      <c r="AN84" s="88"/>
      <c r="AY84" s="89"/>
      <c r="AZ84" s="90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2"/>
      <c r="BL84" s="93"/>
      <c r="BM84" s="94"/>
      <c r="BN84" s="94"/>
      <c r="BO84" s="94"/>
      <c r="BP84" s="94"/>
      <c r="BQ84" s="94"/>
      <c r="BR84" s="94"/>
      <c r="BS84" s="94"/>
      <c r="BT84" s="94"/>
      <c r="BU84" s="94"/>
      <c r="BV84" s="94"/>
      <c r="BW84" s="95"/>
      <c r="BX84" s="96"/>
      <c r="BY84" s="97"/>
      <c r="BZ84" s="97"/>
      <c r="CA84" s="97"/>
      <c r="CB84" s="97"/>
      <c r="CC84" s="97"/>
      <c r="CD84" s="97"/>
      <c r="CE84" s="97"/>
      <c r="CF84" s="97"/>
      <c r="CG84" s="97"/>
      <c r="CH84" s="97"/>
      <c r="CI84" s="98"/>
      <c r="CJ84" s="96"/>
      <c r="CK84" s="97"/>
      <c r="CL84" s="97"/>
      <c r="CM84" s="97"/>
      <c r="CN84" s="97"/>
      <c r="CO84" s="97"/>
      <c r="CP84" s="97"/>
      <c r="CQ84" s="97"/>
      <c r="CR84" s="97"/>
      <c r="CS84" s="97"/>
      <c r="CT84" s="97"/>
      <c r="CU84" s="98"/>
      <c r="CV84" s="99">
        <f t="shared" si="75"/>
        <v>0</v>
      </c>
      <c r="CW84" s="99">
        <f t="shared" si="76"/>
        <v>0</v>
      </c>
    </row>
    <row r="85" spans="1:101" collapsed="1" x14ac:dyDescent="0.35">
      <c r="A85">
        <v>83</v>
      </c>
      <c r="B85" s="100" t="s">
        <v>214</v>
      </c>
      <c r="C85" s="101" t="s">
        <v>215</v>
      </c>
      <c r="D85" s="125">
        <v>3300</v>
      </c>
      <c r="E85" s="103"/>
      <c r="F85" s="104"/>
      <c r="G85" s="63">
        <v>0.3</v>
      </c>
      <c r="H85" s="105" t="s">
        <v>76</v>
      </c>
      <c r="I85" s="191" t="s">
        <v>56</v>
      </c>
      <c r="J85" s="192" t="s">
        <v>56</v>
      </c>
      <c r="K85" s="106">
        <f t="shared" si="67"/>
        <v>75</v>
      </c>
      <c r="L85" s="107">
        <f t="shared" si="68"/>
        <v>110</v>
      </c>
      <c r="M85" s="107">
        <f t="shared" si="69"/>
        <v>134</v>
      </c>
      <c r="N85" s="108">
        <f t="shared" si="70"/>
        <v>150</v>
      </c>
      <c r="O85" s="175">
        <f t="shared" ref="O85:R92" si="91">$D85*K85/1000</f>
        <v>247.5</v>
      </c>
      <c r="P85" s="176">
        <f t="shared" si="91"/>
        <v>363</v>
      </c>
      <c r="Q85" s="176">
        <f t="shared" si="91"/>
        <v>442.2</v>
      </c>
      <c r="R85" s="177">
        <f t="shared" si="91"/>
        <v>495</v>
      </c>
      <c r="S85" s="178">
        <f t="shared" ref="S85:V92" si="92">O85*$G85*52</f>
        <v>3861</v>
      </c>
      <c r="T85" s="176">
        <f t="shared" si="92"/>
        <v>5662.7999999999993</v>
      </c>
      <c r="U85" s="176">
        <f t="shared" si="92"/>
        <v>6898.32</v>
      </c>
      <c r="V85" s="177">
        <f t="shared" si="92"/>
        <v>7722</v>
      </c>
      <c r="W85" s="113">
        <v>0.8</v>
      </c>
      <c r="X85" s="114">
        <f t="shared" si="77"/>
        <v>198</v>
      </c>
      <c r="Y85" s="115">
        <f t="shared" si="77"/>
        <v>290.40000000000003</v>
      </c>
      <c r="Z85" s="115">
        <f t="shared" si="77"/>
        <v>353.76</v>
      </c>
      <c r="AA85" s="116">
        <f t="shared" si="77"/>
        <v>396</v>
      </c>
      <c r="AB85" s="117">
        <f t="shared" si="77"/>
        <v>3088.8</v>
      </c>
      <c r="AC85" s="118">
        <f t="shared" si="77"/>
        <v>4530.24</v>
      </c>
      <c r="AD85" s="118">
        <f t="shared" si="77"/>
        <v>5518.6559999999999</v>
      </c>
      <c r="AE85" s="119">
        <f t="shared" si="77"/>
        <v>6177.6</v>
      </c>
      <c r="AF85" s="193" t="s">
        <v>32</v>
      </c>
      <c r="AG85" s="194">
        <f t="shared" ref="AG85:AG92" si="93">IF(AF85="",0,HLOOKUP(AF85,$X$3:$AA$94,A85,FALSE))*52</f>
        <v>15100.800000000001</v>
      </c>
      <c r="AH85" s="195">
        <f t="shared" ref="AH85:AH92" si="94">IF(AF85="",0,HLOOKUP(AF85,$X$3:$AA$94,A85,FALSE))*4.3</f>
        <v>1248.72</v>
      </c>
      <c r="AI85" s="196">
        <f t="shared" ref="AI85:AI92" si="95">IF(AF85="",0,HLOOKUP(AF85,$AB$3:$AE$94,A85,FALSE))</f>
        <v>4530.24</v>
      </c>
      <c r="AJ85" s="190">
        <v>0.75</v>
      </c>
      <c r="AK85" s="86">
        <f t="shared" ref="AK85:AK94" si="96">SUM(AN85:AY85)</f>
        <v>0</v>
      </c>
      <c r="AL85" s="87">
        <f t="shared" ref="AL85:AL94" si="97">AK85/AG85</f>
        <v>0</v>
      </c>
      <c r="AM85" s="87">
        <f t="shared" si="71"/>
        <v>0</v>
      </c>
      <c r="AN85" s="88"/>
      <c r="AY85" s="89"/>
      <c r="AZ85" s="90">
        <f>AZ$1*HLOOKUP($AF85,$X$3:$AA$94,$A85,FALSE)</f>
        <v>1452.0000000000002</v>
      </c>
      <c r="BA85" s="91">
        <f t="shared" ref="BA85:BK85" si="98">BA$1*HLOOKUP($AF85,$X$3:$AA$94,$A85,FALSE)</f>
        <v>1161.6000000000001</v>
      </c>
      <c r="BB85" s="91">
        <f t="shared" si="98"/>
        <v>1161.6000000000001</v>
      </c>
      <c r="BC85" s="91">
        <f t="shared" si="98"/>
        <v>1452.0000000000002</v>
      </c>
      <c r="BD85" s="91">
        <f t="shared" si="98"/>
        <v>1161.6000000000001</v>
      </c>
      <c r="BE85" s="91">
        <f t="shared" si="98"/>
        <v>1161.6000000000001</v>
      </c>
      <c r="BF85" s="91">
        <f t="shared" si="98"/>
        <v>1452.0000000000002</v>
      </c>
      <c r="BG85" s="91">
        <f t="shared" si="98"/>
        <v>1161.6000000000001</v>
      </c>
      <c r="BH85" s="91">
        <f t="shared" si="98"/>
        <v>1161.6000000000001</v>
      </c>
      <c r="BI85" s="91">
        <f t="shared" si="98"/>
        <v>1452.0000000000002</v>
      </c>
      <c r="BJ85" s="91">
        <f t="shared" si="98"/>
        <v>1161.6000000000001</v>
      </c>
      <c r="BK85" s="91">
        <f t="shared" si="98"/>
        <v>1161.6000000000001</v>
      </c>
      <c r="BL85" s="93">
        <f t="shared" ref="BL85:BW94" si="99">AN85/AZ85</f>
        <v>0</v>
      </c>
      <c r="BM85" s="94">
        <f t="shared" si="99"/>
        <v>0</v>
      </c>
      <c r="BN85" s="94">
        <f t="shared" si="99"/>
        <v>0</v>
      </c>
      <c r="BO85" s="94">
        <f t="shared" si="99"/>
        <v>0</v>
      </c>
      <c r="BP85" s="94">
        <f t="shared" si="99"/>
        <v>0</v>
      </c>
      <c r="BQ85" s="94">
        <f t="shared" si="99"/>
        <v>0</v>
      </c>
      <c r="BR85" s="94">
        <f t="shared" si="99"/>
        <v>0</v>
      </c>
      <c r="BS85" s="94">
        <f t="shared" si="99"/>
        <v>0</v>
      </c>
      <c r="BT85" s="94">
        <f t="shared" si="99"/>
        <v>0</v>
      </c>
      <c r="BU85" s="94">
        <f t="shared" si="99"/>
        <v>0</v>
      </c>
      <c r="BV85" s="94">
        <f t="shared" si="99"/>
        <v>0</v>
      </c>
      <c r="BW85" s="95">
        <f t="shared" si="99"/>
        <v>0</v>
      </c>
      <c r="BX85" s="96">
        <f t="shared" ref="BX85:CI94" si="100">AZ85-AN85</f>
        <v>1452.0000000000002</v>
      </c>
      <c r="BY85" s="97">
        <f t="shared" si="100"/>
        <v>1161.6000000000001</v>
      </c>
      <c r="BZ85" s="97">
        <f t="shared" si="100"/>
        <v>1161.6000000000001</v>
      </c>
      <c r="CA85" s="97">
        <f t="shared" si="100"/>
        <v>1452.0000000000002</v>
      </c>
      <c r="CB85" s="97">
        <f t="shared" si="100"/>
        <v>1161.6000000000001</v>
      </c>
      <c r="CC85" s="97">
        <f t="shared" si="100"/>
        <v>1161.6000000000001</v>
      </c>
      <c r="CD85" s="97">
        <f t="shared" si="100"/>
        <v>1452.0000000000002</v>
      </c>
      <c r="CE85" s="97">
        <f t="shared" si="100"/>
        <v>1161.6000000000001</v>
      </c>
      <c r="CF85" s="97">
        <f t="shared" si="100"/>
        <v>1161.6000000000001</v>
      </c>
      <c r="CG85" s="97">
        <f t="shared" si="100"/>
        <v>1452.0000000000002</v>
      </c>
      <c r="CH85" s="97">
        <f t="shared" si="100"/>
        <v>1161.6000000000001</v>
      </c>
      <c r="CI85" s="98">
        <f t="shared" si="100"/>
        <v>1161.6000000000001</v>
      </c>
      <c r="CJ85" s="96">
        <f t="shared" ref="CJ85:CU94" si="101">$AJ85*BX85</f>
        <v>1089.0000000000002</v>
      </c>
      <c r="CK85" s="97">
        <f t="shared" si="101"/>
        <v>871.2</v>
      </c>
      <c r="CL85" s="97">
        <f t="shared" si="101"/>
        <v>871.2</v>
      </c>
      <c r="CM85" s="97">
        <f t="shared" si="101"/>
        <v>1089.0000000000002</v>
      </c>
      <c r="CN85" s="97">
        <f t="shared" si="101"/>
        <v>871.2</v>
      </c>
      <c r="CO85" s="97">
        <f t="shared" si="101"/>
        <v>871.2</v>
      </c>
      <c r="CP85" s="97">
        <f t="shared" si="101"/>
        <v>1089.0000000000002</v>
      </c>
      <c r="CQ85" s="97">
        <f t="shared" si="101"/>
        <v>871.2</v>
      </c>
      <c r="CR85" s="97">
        <f t="shared" si="101"/>
        <v>871.2</v>
      </c>
      <c r="CS85" s="97">
        <f t="shared" si="101"/>
        <v>1089.0000000000002</v>
      </c>
      <c r="CT85" s="97">
        <f t="shared" si="101"/>
        <v>871.2</v>
      </c>
      <c r="CU85" s="98">
        <f t="shared" si="101"/>
        <v>871.2</v>
      </c>
      <c r="CV85" s="99">
        <f t="shared" si="75"/>
        <v>11325.600000000002</v>
      </c>
      <c r="CW85" s="99">
        <f t="shared" si="76"/>
        <v>3397.68</v>
      </c>
    </row>
    <row r="86" spans="1:101" hidden="1" outlineLevel="1" x14ac:dyDescent="0.35">
      <c r="A86">
        <v>84</v>
      </c>
      <c r="B86" s="100" t="s">
        <v>214</v>
      </c>
      <c r="C86" s="101" t="s">
        <v>215</v>
      </c>
      <c r="D86" s="165">
        <v>3400</v>
      </c>
      <c r="E86" s="103"/>
      <c r="F86" s="104"/>
      <c r="G86" s="63">
        <v>0.27500000000000002</v>
      </c>
      <c r="H86" s="105" t="s">
        <v>76</v>
      </c>
      <c r="I86" s="65" t="s">
        <v>56</v>
      </c>
      <c r="J86" s="66" t="s">
        <v>56</v>
      </c>
      <c r="K86" s="106">
        <f t="shared" si="67"/>
        <v>75</v>
      </c>
      <c r="L86" s="107">
        <f t="shared" si="68"/>
        <v>110</v>
      </c>
      <c r="M86" s="107">
        <f t="shared" si="69"/>
        <v>134</v>
      </c>
      <c r="N86" s="108">
        <f t="shared" si="70"/>
        <v>150</v>
      </c>
      <c r="O86" s="175">
        <f t="shared" si="91"/>
        <v>255</v>
      </c>
      <c r="P86" s="176">
        <f t="shared" si="91"/>
        <v>374</v>
      </c>
      <c r="Q86" s="176">
        <f t="shared" si="91"/>
        <v>455.6</v>
      </c>
      <c r="R86" s="177">
        <f t="shared" si="91"/>
        <v>510</v>
      </c>
      <c r="S86" s="178">
        <f t="shared" si="92"/>
        <v>3646.5</v>
      </c>
      <c r="T86" s="176">
        <f t="shared" si="92"/>
        <v>5348.2000000000007</v>
      </c>
      <c r="U86" s="176">
        <f t="shared" si="92"/>
        <v>6515.0800000000008</v>
      </c>
      <c r="V86" s="177">
        <f t="shared" si="92"/>
        <v>7293</v>
      </c>
      <c r="W86" s="113">
        <v>0.8</v>
      </c>
      <c r="X86" s="114">
        <f t="shared" ref="X86:AE92" si="102">$W86*O86</f>
        <v>204</v>
      </c>
      <c r="Y86" s="115">
        <f t="shared" si="102"/>
        <v>299.2</v>
      </c>
      <c r="Z86" s="115">
        <f t="shared" si="102"/>
        <v>364.48</v>
      </c>
      <c r="AA86" s="116">
        <f t="shared" si="102"/>
        <v>408</v>
      </c>
      <c r="AB86" s="117">
        <f t="shared" si="102"/>
        <v>2917.2000000000003</v>
      </c>
      <c r="AC86" s="118">
        <f t="shared" si="102"/>
        <v>4278.5600000000004</v>
      </c>
      <c r="AD86" s="118">
        <f t="shared" si="102"/>
        <v>5212.0640000000012</v>
      </c>
      <c r="AE86" s="119">
        <f t="shared" si="102"/>
        <v>5834.4000000000005</v>
      </c>
      <c r="AF86" s="81"/>
      <c r="AG86" s="194">
        <f t="shared" si="93"/>
        <v>0</v>
      </c>
      <c r="AH86" s="195">
        <f t="shared" si="94"/>
        <v>0</v>
      </c>
      <c r="AI86" s="196">
        <f t="shared" si="95"/>
        <v>0</v>
      </c>
      <c r="AJ86" s="190">
        <v>0.75</v>
      </c>
      <c r="AK86" s="86"/>
      <c r="AL86" s="87"/>
      <c r="AM86" s="87"/>
      <c r="AN86" s="88"/>
      <c r="AY86" s="89"/>
      <c r="AZ86" s="90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2"/>
      <c r="BL86" s="93"/>
      <c r="BM86" s="94"/>
      <c r="BN86" s="94"/>
      <c r="BO86" s="94"/>
      <c r="BP86" s="94"/>
      <c r="BQ86" s="94"/>
      <c r="BR86" s="94"/>
      <c r="BS86" s="94"/>
      <c r="BT86" s="94"/>
      <c r="BU86" s="94"/>
      <c r="BV86" s="94"/>
      <c r="BW86" s="95"/>
      <c r="BX86" s="96"/>
      <c r="BY86" s="97"/>
      <c r="BZ86" s="97"/>
      <c r="CA86" s="97"/>
      <c r="CB86" s="97"/>
      <c r="CC86" s="97"/>
      <c r="CD86" s="97"/>
      <c r="CE86" s="97"/>
      <c r="CF86" s="97"/>
      <c r="CG86" s="97"/>
      <c r="CH86" s="97"/>
      <c r="CI86" s="98"/>
      <c r="CJ86" s="96"/>
      <c r="CK86" s="97"/>
      <c r="CL86" s="97"/>
      <c r="CM86" s="97"/>
      <c r="CN86" s="97"/>
      <c r="CO86" s="97"/>
      <c r="CP86" s="97"/>
      <c r="CQ86" s="97"/>
      <c r="CR86" s="97"/>
      <c r="CS86" s="97"/>
      <c r="CT86" s="97"/>
      <c r="CU86" s="98"/>
      <c r="CV86" s="99">
        <f t="shared" si="75"/>
        <v>0</v>
      </c>
      <c r="CW86" s="99">
        <f t="shared" si="76"/>
        <v>0</v>
      </c>
    </row>
    <row r="87" spans="1:101" hidden="1" outlineLevel="1" x14ac:dyDescent="0.35">
      <c r="A87">
        <v>85</v>
      </c>
      <c r="B87" s="100" t="s">
        <v>214</v>
      </c>
      <c r="C87" s="101" t="s">
        <v>215</v>
      </c>
      <c r="D87" s="165">
        <v>3300</v>
      </c>
      <c r="E87" s="103"/>
      <c r="F87" s="104"/>
      <c r="G87" s="63">
        <v>0.27500000000000002</v>
      </c>
      <c r="H87" s="105" t="s">
        <v>76</v>
      </c>
      <c r="I87" s="65" t="s">
        <v>86</v>
      </c>
      <c r="J87" s="66" t="s">
        <v>86</v>
      </c>
      <c r="K87" s="106">
        <f t="shared" si="67"/>
        <v>75</v>
      </c>
      <c r="L87" s="107">
        <f t="shared" si="68"/>
        <v>110</v>
      </c>
      <c r="M87" s="107">
        <f t="shared" si="69"/>
        <v>134</v>
      </c>
      <c r="N87" s="108">
        <f t="shared" si="70"/>
        <v>150</v>
      </c>
      <c r="O87" s="175">
        <f t="shared" si="91"/>
        <v>247.5</v>
      </c>
      <c r="P87" s="176">
        <f t="shared" si="91"/>
        <v>363</v>
      </c>
      <c r="Q87" s="176">
        <f t="shared" si="91"/>
        <v>442.2</v>
      </c>
      <c r="R87" s="177">
        <f t="shared" si="91"/>
        <v>495</v>
      </c>
      <c r="S87" s="178">
        <f t="shared" si="92"/>
        <v>3539.25</v>
      </c>
      <c r="T87" s="176">
        <f t="shared" si="92"/>
        <v>5190.9000000000005</v>
      </c>
      <c r="U87" s="176">
        <f t="shared" si="92"/>
        <v>6323.46</v>
      </c>
      <c r="V87" s="177">
        <f t="shared" si="92"/>
        <v>7078.5</v>
      </c>
      <c r="W87" s="113">
        <v>0.8</v>
      </c>
      <c r="X87" s="114">
        <f t="shared" si="102"/>
        <v>198</v>
      </c>
      <c r="Y87" s="115">
        <f t="shared" si="102"/>
        <v>290.40000000000003</v>
      </c>
      <c r="Z87" s="115">
        <f t="shared" si="102"/>
        <v>353.76</v>
      </c>
      <c r="AA87" s="116">
        <f t="shared" si="102"/>
        <v>396</v>
      </c>
      <c r="AB87" s="117">
        <f t="shared" si="102"/>
        <v>2831.4</v>
      </c>
      <c r="AC87" s="118">
        <f t="shared" si="102"/>
        <v>4152.72</v>
      </c>
      <c r="AD87" s="118">
        <f t="shared" si="102"/>
        <v>5058.768</v>
      </c>
      <c r="AE87" s="119">
        <f t="shared" si="102"/>
        <v>5662.8</v>
      </c>
      <c r="AF87" s="81"/>
      <c r="AG87" s="194">
        <f t="shared" si="93"/>
        <v>0</v>
      </c>
      <c r="AH87" s="195">
        <f t="shared" si="94"/>
        <v>0</v>
      </c>
      <c r="AI87" s="196">
        <f t="shared" si="95"/>
        <v>0</v>
      </c>
      <c r="AJ87" s="190">
        <v>0.9</v>
      </c>
      <c r="AK87" s="86"/>
      <c r="AL87" s="87"/>
      <c r="AM87" s="87"/>
      <c r="AN87" s="88"/>
      <c r="AY87" s="89"/>
      <c r="AZ87" s="90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2"/>
      <c r="BL87" s="93"/>
      <c r="BM87" s="94"/>
      <c r="BN87" s="94"/>
      <c r="BO87" s="94"/>
      <c r="BP87" s="94"/>
      <c r="BQ87" s="94"/>
      <c r="BR87" s="94"/>
      <c r="BS87" s="94"/>
      <c r="BT87" s="94"/>
      <c r="BU87" s="94"/>
      <c r="BV87" s="94"/>
      <c r="BW87" s="95"/>
      <c r="BX87" s="96"/>
      <c r="BY87" s="97"/>
      <c r="BZ87" s="97"/>
      <c r="CA87" s="97"/>
      <c r="CB87" s="97"/>
      <c r="CC87" s="97"/>
      <c r="CD87" s="97"/>
      <c r="CE87" s="97"/>
      <c r="CF87" s="97"/>
      <c r="CG87" s="97"/>
      <c r="CH87" s="97"/>
      <c r="CI87" s="98"/>
      <c r="CJ87" s="96"/>
      <c r="CK87" s="97"/>
      <c r="CL87" s="97"/>
      <c r="CM87" s="97"/>
      <c r="CN87" s="97"/>
      <c r="CO87" s="97"/>
      <c r="CP87" s="97"/>
      <c r="CQ87" s="97"/>
      <c r="CR87" s="97"/>
      <c r="CS87" s="97"/>
      <c r="CT87" s="97"/>
      <c r="CU87" s="98"/>
      <c r="CV87" s="99">
        <f t="shared" si="75"/>
        <v>0</v>
      </c>
      <c r="CW87" s="99">
        <f t="shared" si="76"/>
        <v>0</v>
      </c>
    </row>
    <row r="88" spans="1:101" hidden="1" outlineLevel="1" x14ac:dyDescent="0.35">
      <c r="A88">
        <v>86</v>
      </c>
      <c r="B88" s="100" t="s">
        <v>214</v>
      </c>
      <c r="C88" s="101" t="s">
        <v>215</v>
      </c>
      <c r="D88" s="165">
        <v>3000</v>
      </c>
      <c r="E88" s="103"/>
      <c r="F88" s="104"/>
      <c r="G88" s="63">
        <v>0.5</v>
      </c>
      <c r="H88" s="105" t="s">
        <v>76</v>
      </c>
      <c r="I88" s="65" t="s">
        <v>86</v>
      </c>
      <c r="J88" s="66" t="s">
        <v>86</v>
      </c>
      <c r="K88" s="106">
        <f t="shared" si="67"/>
        <v>75</v>
      </c>
      <c r="L88" s="107">
        <f t="shared" si="68"/>
        <v>110</v>
      </c>
      <c r="M88" s="107">
        <f t="shared" si="69"/>
        <v>134</v>
      </c>
      <c r="N88" s="108">
        <f t="shared" si="70"/>
        <v>150</v>
      </c>
      <c r="O88" s="175">
        <f t="shared" si="91"/>
        <v>225</v>
      </c>
      <c r="P88" s="176">
        <f t="shared" si="91"/>
        <v>330</v>
      </c>
      <c r="Q88" s="176">
        <f t="shared" si="91"/>
        <v>402</v>
      </c>
      <c r="R88" s="177">
        <f t="shared" si="91"/>
        <v>450</v>
      </c>
      <c r="S88" s="178">
        <f t="shared" si="92"/>
        <v>5850</v>
      </c>
      <c r="T88" s="176">
        <f t="shared" si="92"/>
        <v>8580</v>
      </c>
      <c r="U88" s="176">
        <f t="shared" si="92"/>
        <v>10452</v>
      </c>
      <c r="V88" s="177">
        <f t="shared" si="92"/>
        <v>11700</v>
      </c>
      <c r="W88" s="113">
        <v>0.8</v>
      </c>
      <c r="X88" s="114">
        <f t="shared" si="102"/>
        <v>180</v>
      </c>
      <c r="Y88" s="115">
        <f t="shared" si="102"/>
        <v>264</v>
      </c>
      <c r="Z88" s="115">
        <f t="shared" si="102"/>
        <v>321.60000000000002</v>
      </c>
      <c r="AA88" s="116">
        <f t="shared" si="102"/>
        <v>360</v>
      </c>
      <c r="AB88" s="117">
        <f t="shared" si="102"/>
        <v>4680</v>
      </c>
      <c r="AC88" s="118">
        <f t="shared" si="102"/>
        <v>6864</v>
      </c>
      <c r="AD88" s="118">
        <f t="shared" si="102"/>
        <v>8361.6</v>
      </c>
      <c r="AE88" s="119">
        <f t="shared" si="102"/>
        <v>9360</v>
      </c>
      <c r="AF88" s="81"/>
      <c r="AG88" s="194">
        <f t="shared" si="93"/>
        <v>0</v>
      </c>
      <c r="AH88" s="195">
        <f t="shared" si="94"/>
        <v>0</v>
      </c>
      <c r="AI88" s="196">
        <f t="shared" si="95"/>
        <v>0</v>
      </c>
      <c r="AJ88" s="190">
        <v>0.9</v>
      </c>
      <c r="AK88" s="86"/>
      <c r="AL88" s="87"/>
      <c r="AM88" s="87"/>
      <c r="AN88" s="88"/>
      <c r="AY88" s="89"/>
      <c r="AZ88" s="90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2"/>
      <c r="BL88" s="93"/>
      <c r="BM88" s="94"/>
      <c r="BN88" s="94"/>
      <c r="BO88" s="94"/>
      <c r="BP88" s="94"/>
      <c r="BQ88" s="94"/>
      <c r="BR88" s="94"/>
      <c r="BS88" s="94"/>
      <c r="BT88" s="94"/>
      <c r="BU88" s="94"/>
      <c r="BV88" s="94"/>
      <c r="BW88" s="95"/>
      <c r="BX88" s="96"/>
      <c r="BY88" s="97"/>
      <c r="BZ88" s="97"/>
      <c r="CA88" s="97"/>
      <c r="CB88" s="97"/>
      <c r="CC88" s="97"/>
      <c r="CD88" s="97"/>
      <c r="CE88" s="97"/>
      <c r="CF88" s="97"/>
      <c r="CG88" s="97"/>
      <c r="CH88" s="97"/>
      <c r="CI88" s="98"/>
      <c r="CJ88" s="96"/>
      <c r="CK88" s="97"/>
      <c r="CL88" s="97"/>
      <c r="CM88" s="97"/>
      <c r="CN88" s="97"/>
      <c r="CO88" s="97"/>
      <c r="CP88" s="97"/>
      <c r="CQ88" s="97"/>
      <c r="CR88" s="97"/>
      <c r="CS88" s="97"/>
      <c r="CT88" s="97"/>
      <c r="CU88" s="98"/>
      <c r="CV88" s="99">
        <f t="shared" si="75"/>
        <v>0</v>
      </c>
      <c r="CW88" s="99">
        <f t="shared" si="76"/>
        <v>0</v>
      </c>
    </row>
    <row r="89" spans="1:101" collapsed="1" x14ac:dyDescent="0.35">
      <c r="A89">
        <v>87</v>
      </c>
      <c r="B89" s="100" t="s">
        <v>214</v>
      </c>
      <c r="C89" s="101" t="s">
        <v>216</v>
      </c>
      <c r="D89" s="125">
        <v>4000</v>
      </c>
      <c r="E89" s="103"/>
      <c r="F89" s="104"/>
      <c r="G89" s="63">
        <v>0.4</v>
      </c>
      <c r="H89" s="105" t="s">
        <v>76</v>
      </c>
      <c r="I89" s="65" t="s">
        <v>86</v>
      </c>
      <c r="J89" s="66" t="s">
        <v>86</v>
      </c>
      <c r="K89" s="106">
        <f t="shared" si="67"/>
        <v>75</v>
      </c>
      <c r="L89" s="107">
        <f t="shared" si="68"/>
        <v>110</v>
      </c>
      <c r="M89" s="107">
        <f t="shared" si="69"/>
        <v>134</v>
      </c>
      <c r="N89" s="108">
        <f t="shared" si="70"/>
        <v>150</v>
      </c>
      <c r="O89" s="175">
        <f t="shared" si="91"/>
        <v>300</v>
      </c>
      <c r="P89" s="176">
        <f t="shared" si="91"/>
        <v>440</v>
      </c>
      <c r="Q89" s="176">
        <f t="shared" si="91"/>
        <v>536</v>
      </c>
      <c r="R89" s="177">
        <f t="shared" si="91"/>
        <v>600</v>
      </c>
      <c r="S89" s="178">
        <f t="shared" si="92"/>
        <v>6240</v>
      </c>
      <c r="T89" s="176">
        <f t="shared" si="92"/>
        <v>9152</v>
      </c>
      <c r="U89" s="176">
        <f t="shared" si="92"/>
        <v>11148.800000000001</v>
      </c>
      <c r="V89" s="177">
        <f t="shared" si="92"/>
        <v>12480</v>
      </c>
      <c r="W89" s="113">
        <v>0.8</v>
      </c>
      <c r="X89" s="114">
        <f t="shared" si="102"/>
        <v>240</v>
      </c>
      <c r="Y89" s="115">
        <f t="shared" si="102"/>
        <v>352</v>
      </c>
      <c r="Z89" s="115">
        <f t="shared" si="102"/>
        <v>428.8</v>
      </c>
      <c r="AA89" s="116">
        <f t="shared" si="102"/>
        <v>480</v>
      </c>
      <c r="AB89" s="117">
        <f t="shared" si="102"/>
        <v>4992</v>
      </c>
      <c r="AC89" s="118">
        <f t="shared" si="102"/>
        <v>7321.6</v>
      </c>
      <c r="AD89" s="118">
        <f t="shared" si="102"/>
        <v>8919.0400000000009</v>
      </c>
      <c r="AE89" s="119">
        <f t="shared" si="102"/>
        <v>9984</v>
      </c>
      <c r="AF89" s="81" t="s">
        <v>32</v>
      </c>
      <c r="AG89" s="194">
        <f t="shared" si="93"/>
        <v>18304</v>
      </c>
      <c r="AH89" s="195">
        <f t="shared" si="94"/>
        <v>1513.6</v>
      </c>
      <c r="AI89" s="196">
        <f t="shared" si="95"/>
        <v>7321.6</v>
      </c>
      <c r="AJ89" s="190">
        <v>0.9</v>
      </c>
      <c r="AK89" s="86">
        <f t="shared" si="96"/>
        <v>0</v>
      </c>
      <c r="AL89" s="87">
        <f t="shared" si="97"/>
        <v>0</v>
      </c>
      <c r="AM89" s="87">
        <f t="shared" si="71"/>
        <v>0</v>
      </c>
      <c r="AN89" s="88"/>
      <c r="AY89" s="89"/>
      <c r="AZ89" s="90">
        <f>AZ$1*HLOOKUP($AF89,$X$3:$AA$94,$A89,FALSE)</f>
        <v>1760</v>
      </c>
      <c r="BA89" s="91">
        <f t="shared" ref="BA89:BK89" si="103">BA$1*HLOOKUP($AF89,$X$3:$AA$94,$A89,FALSE)</f>
        <v>1408</v>
      </c>
      <c r="BB89" s="91">
        <f t="shared" si="103"/>
        <v>1408</v>
      </c>
      <c r="BC89" s="91">
        <f t="shared" si="103"/>
        <v>1760</v>
      </c>
      <c r="BD89" s="91">
        <f t="shared" si="103"/>
        <v>1408</v>
      </c>
      <c r="BE89" s="91">
        <f t="shared" si="103"/>
        <v>1408</v>
      </c>
      <c r="BF89" s="91">
        <f t="shared" si="103"/>
        <v>1760</v>
      </c>
      <c r="BG89" s="91">
        <f t="shared" si="103"/>
        <v>1408</v>
      </c>
      <c r="BH89" s="91">
        <f t="shared" si="103"/>
        <v>1408</v>
      </c>
      <c r="BI89" s="91">
        <f t="shared" si="103"/>
        <v>1760</v>
      </c>
      <c r="BJ89" s="91">
        <f t="shared" si="103"/>
        <v>1408</v>
      </c>
      <c r="BK89" s="91">
        <f t="shared" si="103"/>
        <v>1408</v>
      </c>
      <c r="BL89" s="93">
        <f t="shared" si="99"/>
        <v>0</v>
      </c>
      <c r="BM89" s="94">
        <f t="shared" si="99"/>
        <v>0</v>
      </c>
      <c r="BN89" s="94">
        <f t="shared" si="99"/>
        <v>0</v>
      </c>
      <c r="BO89" s="94">
        <f t="shared" si="99"/>
        <v>0</v>
      </c>
      <c r="BP89" s="94">
        <f t="shared" si="99"/>
        <v>0</v>
      </c>
      <c r="BQ89" s="94">
        <f t="shared" si="99"/>
        <v>0</v>
      </c>
      <c r="BR89" s="94">
        <f t="shared" si="99"/>
        <v>0</v>
      </c>
      <c r="BS89" s="94">
        <f t="shared" si="99"/>
        <v>0</v>
      </c>
      <c r="BT89" s="94">
        <f t="shared" si="99"/>
        <v>0</v>
      </c>
      <c r="BU89" s="94">
        <f t="shared" si="99"/>
        <v>0</v>
      </c>
      <c r="BV89" s="94">
        <f t="shared" si="99"/>
        <v>0</v>
      </c>
      <c r="BW89" s="95">
        <f t="shared" si="99"/>
        <v>0</v>
      </c>
      <c r="BX89" s="96">
        <f t="shared" si="100"/>
        <v>1760</v>
      </c>
      <c r="BY89" s="97">
        <f t="shared" si="100"/>
        <v>1408</v>
      </c>
      <c r="BZ89" s="97">
        <f t="shared" si="100"/>
        <v>1408</v>
      </c>
      <c r="CA89" s="97">
        <f t="shared" si="100"/>
        <v>1760</v>
      </c>
      <c r="CB89" s="97">
        <f t="shared" si="100"/>
        <v>1408</v>
      </c>
      <c r="CC89" s="97">
        <f t="shared" si="100"/>
        <v>1408</v>
      </c>
      <c r="CD89" s="97">
        <f t="shared" si="100"/>
        <v>1760</v>
      </c>
      <c r="CE89" s="97">
        <f t="shared" si="100"/>
        <v>1408</v>
      </c>
      <c r="CF89" s="97">
        <f t="shared" si="100"/>
        <v>1408</v>
      </c>
      <c r="CG89" s="97">
        <f t="shared" si="100"/>
        <v>1760</v>
      </c>
      <c r="CH89" s="97">
        <f t="shared" si="100"/>
        <v>1408</v>
      </c>
      <c r="CI89" s="98">
        <f t="shared" si="100"/>
        <v>1408</v>
      </c>
      <c r="CJ89" s="96">
        <f t="shared" si="101"/>
        <v>1584</v>
      </c>
      <c r="CK89" s="97">
        <f t="shared" si="101"/>
        <v>1267.2</v>
      </c>
      <c r="CL89" s="97">
        <f t="shared" si="101"/>
        <v>1267.2</v>
      </c>
      <c r="CM89" s="97">
        <f t="shared" si="101"/>
        <v>1584</v>
      </c>
      <c r="CN89" s="97">
        <f t="shared" si="101"/>
        <v>1267.2</v>
      </c>
      <c r="CO89" s="97">
        <f t="shared" si="101"/>
        <v>1267.2</v>
      </c>
      <c r="CP89" s="97">
        <f t="shared" si="101"/>
        <v>1584</v>
      </c>
      <c r="CQ89" s="97">
        <f t="shared" si="101"/>
        <v>1267.2</v>
      </c>
      <c r="CR89" s="97">
        <f t="shared" si="101"/>
        <v>1267.2</v>
      </c>
      <c r="CS89" s="97">
        <f t="shared" si="101"/>
        <v>1584</v>
      </c>
      <c r="CT89" s="97">
        <f t="shared" si="101"/>
        <v>1267.2</v>
      </c>
      <c r="CU89" s="98">
        <f t="shared" si="101"/>
        <v>1267.2</v>
      </c>
      <c r="CV89" s="99">
        <f t="shared" si="75"/>
        <v>16473.600000000002</v>
      </c>
      <c r="CW89" s="99">
        <f t="shared" si="76"/>
        <v>6589.4400000000005</v>
      </c>
    </row>
    <row r="90" spans="1:101" hidden="1" outlineLevel="1" x14ac:dyDescent="0.35">
      <c r="A90">
        <v>88</v>
      </c>
      <c r="B90" s="100" t="s">
        <v>214</v>
      </c>
      <c r="C90" s="101" t="s">
        <v>216</v>
      </c>
      <c r="D90" s="165">
        <v>4300</v>
      </c>
      <c r="E90" s="103"/>
      <c r="F90" s="167"/>
      <c r="G90" s="168">
        <v>0.35</v>
      </c>
      <c r="H90" s="105" t="s">
        <v>76</v>
      </c>
      <c r="I90" s="65" t="s">
        <v>86</v>
      </c>
      <c r="J90" s="192" t="s">
        <v>86</v>
      </c>
      <c r="K90" s="106">
        <f t="shared" si="67"/>
        <v>75</v>
      </c>
      <c r="L90" s="107">
        <f t="shared" si="68"/>
        <v>110</v>
      </c>
      <c r="M90" s="107">
        <f t="shared" si="69"/>
        <v>134</v>
      </c>
      <c r="N90" s="108">
        <f t="shared" si="70"/>
        <v>150</v>
      </c>
      <c r="O90" s="175">
        <f t="shared" si="91"/>
        <v>322.5</v>
      </c>
      <c r="P90" s="176">
        <f t="shared" si="91"/>
        <v>473</v>
      </c>
      <c r="Q90" s="176">
        <f t="shared" si="91"/>
        <v>576.20000000000005</v>
      </c>
      <c r="R90" s="177">
        <f t="shared" si="91"/>
        <v>645</v>
      </c>
      <c r="S90" s="178">
        <f t="shared" si="92"/>
        <v>5869.4999999999991</v>
      </c>
      <c r="T90" s="176">
        <f t="shared" si="92"/>
        <v>8608.5999999999985</v>
      </c>
      <c r="U90" s="176">
        <f t="shared" si="92"/>
        <v>10486.84</v>
      </c>
      <c r="V90" s="177">
        <f t="shared" si="92"/>
        <v>11738.999999999998</v>
      </c>
      <c r="W90" s="197">
        <v>0.8</v>
      </c>
      <c r="X90" s="114">
        <f t="shared" si="102"/>
        <v>258</v>
      </c>
      <c r="Y90" s="115">
        <f t="shared" si="102"/>
        <v>378.40000000000003</v>
      </c>
      <c r="Z90" s="115">
        <f t="shared" si="102"/>
        <v>460.96000000000004</v>
      </c>
      <c r="AA90" s="116">
        <f t="shared" si="102"/>
        <v>516</v>
      </c>
      <c r="AB90" s="117">
        <f t="shared" si="102"/>
        <v>4695.5999999999995</v>
      </c>
      <c r="AC90" s="118">
        <f t="shared" si="102"/>
        <v>6886.8799999999992</v>
      </c>
      <c r="AD90" s="118">
        <f t="shared" si="102"/>
        <v>8389.4719999999998</v>
      </c>
      <c r="AE90" s="119">
        <f t="shared" si="102"/>
        <v>9391.1999999999989</v>
      </c>
      <c r="AF90" s="193"/>
      <c r="AG90" s="194">
        <f t="shared" si="93"/>
        <v>0</v>
      </c>
      <c r="AH90" s="195">
        <f t="shared" si="94"/>
        <v>0</v>
      </c>
      <c r="AI90" s="196">
        <f t="shared" si="95"/>
        <v>0</v>
      </c>
      <c r="AJ90" s="190">
        <v>0.9</v>
      </c>
      <c r="AK90" s="86"/>
      <c r="AL90" s="87"/>
      <c r="AM90" s="87"/>
      <c r="AN90" s="88"/>
      <c r="AY90" s="89"/>
      <c r="AZ90" s="90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2"/>
      <c r="BL90" s="93"/>
      <c r="BM90" s="94"/>
      <c r="BN90" s="94"/>
      <c r="BO90" s="94"/>
      <c r="BP90" s="94"/>
      <c r="BQ90" s="94"/>
      <c r="BR90" s="94"/>
      <c r="BS90" s="94"/>
      <c r="BT90" s="94"/>
      <c r="BU90" s="94"/>
      <c r="BV90" s="94"/>
      <c r="BW90" s="95"/>
      <c r="BX90" s="96"/>
      <c r="BY90" s="97"/>
      <c r="BZ90" s="97"/>
      <c r="CA90" s="97"/>
      <c r="CB90" s="97"/>
      <c r="CC90" s="97"/>
      <c r="CD90" s="97"/>
      <c r="CE90" s="97"/>
      <c r="CF90" s="97"/>
      <c r="CG90" s="97"/>
      <c r="CH90" s="97"/>
      <c r="CI90" s="98"/>
      <c r="CJ90" s="96"/>
      <c r="CK90" s="97"/>
      <c r="CL90" s="97"/>
      <c r="CM90" s="97"/>
      <c r="CN90" s="97"/>
      <c r="CO90" s="97"/>
      <c r="CP90" s="97"/>
      <c r="CQ90" s="97"/>
      <c r="CR90" s="97"/>
      <c r="CS90" s="97"/>
      <c r="CT90" s="97"/>
      <c r="CU90" s="98"/>
      <c r="CV90" s="99">
        <f t="shared" si="75"/>
        <v>0</v>
      </c>
      <c r="CW90" s="99">
        <f t="shared" si="76"/>
        <v>0</v>
      </c>
    </row>
    <row r="91" spans="1:101" hidden="1" outlineLevel="1" x14ac:dyDescent="0.35">
      <c r="A91">
        <v>89</v>
      </c>
      <c r="B91" s="100" t="s">
        <v>214</v>
      </c>
      <c r="C91" s="101" t="s">
        <v>216</v>
      </c>
      <c r="D91" s="165">
        <v>3800</v>
      </c>
      <c r="E91" s="103"/>
      <c r="F91" s="167"/>
      <c r="G91" s="168">
        <v>0.55000000000000004</v>
      </c>
      <c r="H91" s="105" t="s">
        <v>76</v>
      </c>
      <c r="I91" s="65" t="s">
        <v>86</v>
      </c>
      <c r="J91" s="192" t="s">
        <v>86</v>
      </c>
      <c r="K91" s="106">
        <f t="shared" si="67"/>
        <v>75</v>
      </c>
      <c r="L91" s="107">
        <f t="shared" si="68"/>
        <v>110</v>
      </c>
      <c r="M91" s="107">
        <f t="shared" si="69"/>
        <v>134</v>
      </c>
      <c r="N91" s="108">
        <f t="shared" si="70"/>
        <v>150</v>
      </c>
      <c r="O91" s="175">
        <f t="shared" si="91"/>
        <v>285</v>
      </c>
      <c r="P91" s="176">
        <f t="shared" si="91"/>
        <v>418</v>
      </c>
      <c r="Q91" s="176">
        <f t="shared" si="91"/>
        <v>509.2</v>
      </c>
      <c r="R91" s="177">
        <f t="shared" si="91"/>
        <v>570</v>
      </c>
      <c r="S91" s="178">
        <f t="shared" si="92"/>
        <v>8151</v>
      </c>
      <c r="T91" s="176">
        <f t="shared" si="92"/>
        <v>11954.800000000001</v>
      </c>
      <c r="U91" s="176">
        <f t="shared" si="92"/>
        <v>14563.12</v>
      </c>
      <c r="V91" s="177">
        <f t="shared" si="92"/>
        <v>16302</v>
      </c>
      <c r="W91" s="197">
        <v>0.8</v>
      </c>
      <c r="X91" s="114">
        <f t="shared" si="102"/>
        <v>228</v>
      </c>
      <c r="Y91" s="115">
        <f t="shared" si="102"/>
        <v>334.40000000000003</v>
      </c>
      <c r="Z91" s="115">
        <f t="shared" si="102"/>
        <v>407.36</v>
      </c>
      <c r="AA91" s="116">
        <f t="shared" si="102"/>
        <v>456</v>
      </c>
      <c r="AB91" s="117">
        <f t="shared" si="102"/>
        <v>6520.8</v>
      </c>
      <c r="AC91" s="118">
        <f t="shared" si="102"/>
        <v>9563.840000000002</v>
      </c>
      <c r="AD91" s="118">
        <f t="shared" si="102"/>
        <v>11650.496000000001</v>
      </c>
      <c r="AE91" s="119">
        <f t="shared" si="102"/>
        <v>13041.6</v>
      </c>
      <c r="AF91" s="186"/>
      <c r="AG91" s="194">
        <f t="shared" si="93"/>
        <v>0</v>
      </c>
      <c r="AH91" s="195">
        <f t="shared" si="94"/>
        <v>0</v>
      </c>
      <c r="AI91" s="196">
        <f t="shared" si="95"/>
        <v>0</v>
      </c>
      <c r="AJ91" s="198">
        <v>0.9</v>
      </c>
      <c r="AK91" s="86"/>
      <c r="AL91" s="87"/>
      <c r="AM91" s="87"/>
      <c r="AN91" s="88"/>
      <c r="AY91" s="89"/>
      <c r="AZ91" s="90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2"/>
      <c r="BL91" s="93"/>
      <c r="BM91" s="94"/>
      <c r="BN91" s="94"/>
      <c r="BO91" s="94"/>
      <c r="BP91" s="94"/>
      <c r="BQ91" s="94"/>
      <c r="BR91" s="94"/>
      <c r="BS91" s="94"/>
      <c r="BT91" s="94"/>
      <c r="BU91" s="94"/>
      <c r="BV91" s="94"/>
      <c r="BW91" s="95"/>
      <c r="BX91" s="96"/>
      <c r="BY91" s="97"/>
      <c r="BZ91" s="97"/>
      <c r="CA91" s="97"/>
      <c r="CB91" s="97"/>
      <c r="CC91" s="97"/>
      <c r="CD91" s="97"/>
      <c r="CE91" s="97"/>
      <c r="CF91" s="97"/>
      <c r="CG91" s="97"/>
      <c r="CH91" s="97"/>
      <c r="CI91" s="98"/>
      <c r="CJ91" s="96"/>
      <c r="CK91" s="97"/>
      <c r="CL91" s="97"/>
      <c r="CM91" s="97"/>
      <c r="CN91" s="97"/>
      <c r="CO91" s="97"/>
      <c r="CP91" s="97"/>
      <c r="CQ91" s="97"/>
      <c r="CR91" s="97"/>
      <c r="CS91" s="97"/>
      <c r="CT91" s="97"/>
      <c r="CU91" s="98"/>
      <c r="CV91" s="99">
        <f t="shared" si="75"/>
        <v>0</v>
      </c>
      <c r="CW91" s="99">
        <f t="shared" si="76"/>
        <v>0</v>
      </c>
    </row>
    <row r="92" spans="1:101" hidden="1" outlineLevel="1" x14ac:dyDescent="0.35">
      <c r="A92">
        <v>90</v>
      </c>
      <c r="B92" s="100" t="s">
        <v>214</v>
      </c>
      <c r="C92" s="101" t="s">
        <v>216</v>
      </c>
      <c r="D92" s="165">
        <v>3000</v>
      </c>
      <c r="E92" s="103"/>
      <c r="F92" s="167"/>
      <c r="G92" s="168">
        <v>0.6</v>
      </c>
      <c r="H92" s="105" t="s">
        <v>76</v>
      </c>
      <c r="I92" s="63" t="s">
        <v>142</v>
      </c>
      <c r="J92" s="192" t="s">
        <v>143</v>
      </c>
      <c r="K92" s="106">
        <f t="shared" si="67"/>
        <v>75</v>
      </c>
      <c r="L92" s="107">
        <f t="shared" si="68"/>
        <v>110</v>
      </c>
      <c r="M92" s="107">
        <f t="shared" si="69"/>
        <v>134</v>
      </c>
      <c r="N92" s="108">
        <f t="shared" si="70"/>
        <v>150</v>
      </c>
      <c r="O92" s="175">
        <f t="shared" si="91"/>
        <v>225</v>
      </c>
      <c r="P92" s="176">
        <f t="shared" si="91"/>
        <v>330</v>
      </c>
      <c r="Q92" s="176">
        <f t="shared" si="91"/>
        <v>402</v>
      </c>
      <c r="R92" s="177">
        <f t="shared" si="91"/>
        <v>450</v>
      </c>
      <c r="S92" s="178">
        <f t="shared" si="92"/>
        <v>7020</v>
      </c>
      <c r="T92" s="176">
        <f t="shared" si="92"/>
        <v>10296</v>
      </c>
      <c r="U92" s="176">
        <f t="shared" si="92"/>
        <v>12542.4</v>
      </c>
      <c r="V92" s="177">
        <f t="shared" si="92"/>
        <v>14040</v>
      </c>
      <c r="W92" s="197">
        <v>0.8</v>
      </c>
      <c r="X92" s="114">
        <f t="shared" si="102"/>
        <v>180</v>
      </c>
      <c r="Y92" s="115">
        <f t="shared" si="102"/>
        <v>264</v>
      </c>
      <c r="Z92" s="115">
        <f t="shared" si="102"/>
        <v>321.60000000000002</v>
      </c>
      <c r="AA92" s="116">
        <f t="shared" si="102"/>
        <v>360</v>
      </c>
      <c r="AB92" s="117">
        <f t="shared" si="102"/>
        <v>5616</v>
      </c>
      <c r="AC92" s="118">
        <f t="shared" si="102"/>
        <v>8236.8000000000011</v>
      </c>
      <c r="AD92" s="118">
        <f t="shared" si="102"/>
        <v>10033.92</v>
      </c>
      <c r="AE92" s="119">
        <f t="shared" si="102"/>
        <v>11232</v>
      </c>
      <c r="AF92" s="193"/>
      <c r="AG92" s="194">
        <f t="shared" si="93"/>
        <v>0</v>
      </c>
      <c r="AH92" s="195">
        <f t="shared" si="94"/>
        <v>0</v>
      </c>
      <c r="AI92" s="196">
        <f t="shared" si="95"/>
        <v>0</v>
      </c>
      <c r="AJ92" s="123">
        <v>0.9</v>
      </c>
      <c r="AK92" s="86"/>
      <c r="AL92" s="87"/>
      <c r="AM92" s="87"/>
      <c r="AN92" s="88"/>
      <c r="AY92" s="89"/>
      <c r="AZ92" s="90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2"/>
      <c r="BL92" s="93"/>
      <c r="BM92" s="94"/>
      <c r="BN92" s="94"/>
      <c r="BO92" s="94"/>
      <c r="BP92" s="94"/>
      <c r="BQ92" s="94"/>
      <c r="BR92" s="94"/>
      <c r="BS92" s="94"/>
      <c r="BT92" s="94"/>
      <c r="BU92" s="94"/>
      <c r="BV92" s="94"/>
      <c r="BW92" s="95"/>
      <c r="BX92" s="96"/>
      <c r="BY92" s="97"/>
      <c r="BZ92" s="97"/>
      <c r="CA92" s="97"/>
      <c r="CB92" s="97"/>
      <c r="CC92" s="97"/>
      <c r="CD92" s="97"/>
      <c r="CE92" s="97"/>
      <c r="CF92" s="97"/>
      <c r="CG92" s="97"/>
      <c r="CH92" s="97"/>
      <c r="CI92" s="98"/>
      <c r="CJ92" s="96"/>
      <c r="CK92" s="97"/>
      <c r="CL92" s="97"/>
      <c r="CM92" s="97"/>
      <c r="CN92" s="97"/>
      <c r="CO92" s="97"/>
      <c r="CP92" s="97"/>
      <c r="CQ92" s="97"/>
      <c r="CR92" s="97"/>
      <c r="CS92" s="97"/>
      <c r="CT92" s="97"/>
      <c r="CU92" s="98"/>
      <c r="CV92" s="99">
        <f t="shared" si="75"/>
        <v>0</v>
      </c>
      <c r="CW92" s="99">
        <f t="shared" si="76"/>
        <v>0</v>
      </c>
    </row>
    <row r="93" spans="1:101" collapsed="1" x14ac:dyDescent="0.35">
      <c r="A93">
        <v>91</v>
      </c>
      <c r="B93" s="152" t="s">
        <v>214</v>
      </c>
      <c r="C93" s="153" t="s">
        <v>217</v>
      </c>
      <c r="D93" s="199"/>
      <c r="E93" s="155"/>
      <c r="F93" s="200"/>
      <c r="G93" s="201"/>
      <c r="H93" s="158"/>
      <c r="I93" s="202"/>
      <c r="J93" s="203"/>
      <c r="K93" s="204"/>
      <c r="L93" s="205"/>
      <c r="M93" s="205"/>
      <c r="N93" s="206"/>
      <c r="O93" s="207"/>
      <c r="P93" s="208"/>
      <c r="Q93" s="208"/>
      <c r="R93" s="209"/>
      <c r="S93" s="210"/>
      <c r="T93" s="208"/>
      <c r="U93" s="208"/>
      <c r="V93" s="209"/>
      <c r="W93" s="197"/>
      <c r="X93" s="210"/>
      <c r="Y93" s="208"/>
      <c r="Z93" s="208"/>
      <c r="AA93" s="209"/>
      <c r="AB93" s="211"/>
      <c r="AC93" s="212"/>
      <c r="AD93" s="212"/>
      <c r="AE93" s="213"/>
      <c r="AF93" s="214"/>
      <c r="AG93" s="215"/>
      <c r="AH93" s="216"/>
      <c r="AI93" s="217"/>
      <c r="AJ93" s="218"/>
      <c r="AK93" s="86"/>
      <c r="AL93" s="87"/>
      <c r="AM93" s="87"/>
      <c r="AN93" s="88"/>
      <c r="AY93" s="89"/>
      <c r="AZ93" s="90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2"/>
      <c r="BL93" s="93"/>
      <c r="BM93" s="94"/>
      <c r="BN93" s="94"/>
      <c r="BO93" s="94"/>
      <c r="BP93" s="94"/>
      <c r="BQ93" s="94"/>
      <c r="BR93" s="94"/>
      <c r="BS93" s="94"/>
      <c r="BT93" s="94"/>
      <c r="BU93" s="94"/>
      <c r="BV93" s="94"/>
      <c r="BW93" s="95"/>
      <c r="BX93" s="96"/>
      <c r="BY93" s="97"/>
      <c r="BZ93" s="97"/>
      <c r="CA93" s="97"/>
      <c r="CB93" s="97"/>
      <c r="CC93" s="97"/>
      <c r="CD93" s="97"/>
      <c r="CE93" s="97"/>
      <c r="CF93" s="97"/>
      <c r="CG93" s="97"/>
      <c r="CH93" s="97"/>
      <c r="CI93" s="98"/>
      <c r="CJ93" s="96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8"/>
      <c r="CV93" s="99">
        <f t="shared" si="75"/>
        <v>0</v>
      </c>
      <c r="CW93" s="99">
        <f t="shared" si="76"/>
        <v>0</v>
      </c>
    </row>
    <row r="94" spans="1:101" ht="15" thickBot="1" x14ac:dyDescent="0.4">
      <c r="A94">
        <v>92</v>
      </c>
      <c r="B94" s="219" t="s">
        <v>214</v>
      </c>
      <c r="C94" s="220" t="s">
        <v>218</v>
      </c>
      <c r="D94" s="221"/>
      <c r="E94" s="222"/>
      <c r="F94" s="223"/>
      <c r="G94" s="224"/>
      <c r="H94" s="225"/>
      <c r="I94" s="226"/>
      <c r="J94" s="227"/>
      <c r="K94" s="228">
        <f t="shared" si="67"/>
        <v>75</v>
      </c>
      <c r="L94" s="229">
        <f t="shared" si="68"/>
        <v>110</v>
      </c>
      <c r="M94" s="229">
        <f t="shared" si="69"/>
        <v>134</v>
      </c>
      <c r="N94" s="230">
        <f t="shared" si="70"/>
        <v>150</v>
      </c>
      <c r="O94" s="231">
        <f t="shared" ref="O94:R94" si="104">$D94*K94/1000</f>
        <v>0</v>
      </c>
      <c r="P94" s="232">
        <f t="shared" si="104"/>
        <v>0</v>
      </c>
      <c r="Q94" s="232">
        <f t="shared" si="104"/>
        <v>0</v>
      </c>
      <c r="R94" s="233">
        <f t="shared" si="104"/>
        <v>0</v>
      </c>
      <c r="S94" s="234">
        <f t="shared" ref="S94:V94" si="105">O94*$G94*52</f>
        <v>0</v>
      </c>
      <c r="T94" s="232">
        <f t="shared" si="105"/>
        <v>0</v>
      </c>
      <c r="U94" s="232">
        <f t="shared" si="105"/>
        <v>0</v>
      </c>
      <c r="V94" s="233">
        <f t="shared" si="105"/>
        <v>0</v>
      </c>
      <c r="W94" s="235">
        <v>0.8</v>
      </c>
      <c r="X94" s="236">
        <f t="shared" ref="X94:AE94" si="106">$W94*O94</f>
        <v>0</v>
      </c>
      <c r="Y94" s="237">
        <f t="shared" si="106"/>
        <v>0</v>
      </c>
      <c r="Z94" s="237">
        <f t="shared" si="106"/>
        <v>0</v>
      </c>
      <c r="AA94" s="238">
        <f t="shared" si="106"/>
        <v>0</v>
      </c>
      <c r="AB94" s="239">
        <f t="shared" si="106"/>
        <v>0</v>
      </c>
      <c r="AC94" s="240">
        <f t="shared" si="106"/>
        <v>0</v>
      </c>
      <c r="AD94" s="240">
        <f t="shared" si="106"/>
        <v>0</v>
      </c>
      <c r="AE94" s="241">
        <f t="shared" si="106"/>
        <v>0</v>
      </c>
      <c r="AF94" s="242" t="s">
        <v>32</v>
      </c>
      <c r="AG94" s="243">
        <f t="shared" ref="AG94" si="107">IF(AF94="",0,HLOOKUP(AF94,$X$3:$AA$94,A94,FALSE))*52</f>
        <v>0</v>
      </c>
      <c r="AH94" s="244">
        <f t="shared" ref="AH94" si="108">IF(AF94="",0,HLOOKUP(AF94,$X$3:$AA$94,A94,FALSE))*4.3</f>
        <v>0</v>
      </c>
      <c r="AI94" s="245">
        <f t="shared" ref="AI94" si="109">IF(AF94="",0,HLOOKUP(AF94,$AB$3:$AE$94,A94,FALSE))</f>
        <v>0</v>
      </c>
      <c r="AJ94" s="246">
        <v>0.75</v>
      </c>
      <c r="AK94" s="247">
        <f t="shared" si="96"/>
        <v>0</v>
      </c>
      <c r="AL94" s="248" t="e">
        <f t="shared" si="97"/>
        <v>#DIV/0!</v>
      </c>
      <c r="AM94" s="248"/>
      <c r="AN94" s="249"/>
      <c r="AO94" s="250"/>
      <c r="AP94" s="250"/>
      <c r="AQ94" s="250"/>
      <c r="AR94" s="250"/>
      <c r="AS94" s="250"/>
      <c r="AT94" s="250"/>
      <c r="AU94" s="250"/>
      <c r="AV94" s="250"/>
      <c r="AW94" s="250"/>
      <c r="AX94" s="250"/>
      <c r="AY94" s="251"/>
      <c r="AZ94" s="252">
        <f>AZ$1*HLOOKUP($AF94,$X$3:$AA$94,$A94,FALSE)</f>
        <v>0</v>
      </c>
      <c r="BA94" s="253">
        <f t="shared" ref="BA94:BK94" si="110">BA$1*HLOOKUP($AF94,$X$3:$AA$94,$A94,FALSE)</f>
        <v>0</v>
      </c>
      <c r="BB94" s="253">
        <f t="shared" si="110"/>
        <v>0</v>
      </c>
      <c r="BC94" s="253">
        <f t="shared" si="110"/>
        <v>0</v>
      </c>
      <c r="BD94" s="253">
        <f t="shared" si="110"/>
        <v>0</v>
      </c>
      <c r="BE94" s="253">
        <f t="shared" si="110"/>
        <v>0</v>
      </c>
      <c r="BF94" s="253">
        <f t="shared" si="110"/>
        <v>0</v>
      </c>
      <c r="BG94" s="253">
        <f t="shared" si="110"/>
        <v>0</v>
      </c>
      <c r="BH94" s="253">
        <f t="shared" si="110"/>
        <v>0</v>
      </c>
      <c r="BI94" s="253">
        <f t="shared" si="110"/>
        <v>0</v>
      </c>
      <c r="BJ94" s="253">
        <f t="shared" si="110"/>
        <v>0</v>
      </c>
      <c r="BK94" s="253">
        <f t="shared" si="110"/>
        <v>0</v>
      </c>
      <c r="BL94" s="254" t="e">
        <f t="shared" si="99"/>
        <v>#DIV/0!</v>
      </c>
      <c r="BM94" s="255" t="e">
        <f t="shared" si="99"/>
        <v>#DIV/0!</v>
      </c>
      <c r="BN94" s="255" t="e">
        <f t="shared" si="99"/>
        <v>#DIV/0!</v>
      </c>
      <c r="BO94" s="255" t="e">
        <f t="shared" si="99"/>
        <v>#DIV/0!</v>
      </c>
      <c r="BP94" s="255" t="e">
        <f t="shared" si="99"/>
        <v>#DIV/0!</v>
      </c>
      <c r="BQ94" s="255" t="e">
        <f t="shared" si="99"/>
        <v>#DIV/0!</v>
      </c>
      <c r="BR94" s="255" t="e">
        <f t="shared" si="99"/>
        <v>#DIV/0!</v>
      </c>
      <c r="BS94" s="255" t="e">
        <f t="shared" si="99"/>
        <v>#DIV/0!</v>
      </c>
      <c r="BT94" s="255" t="e">
        <f t="shared" si="99"/>
        <v>#DIV/0!</v>
      </c>
      <c r="BU94" s="255" t="e">
        <f t="shared" si="99"/>
        <v>#DIV/0!</v>
      </c>
      <c r="BV94" s="255" t="e">
        <f t="shared" si="99"/>
        <v>#DIV/0!</v>
      </c>
      <c r="BW94" s="256" t="e">
        <f t="shared" si="99"/>
        <v>#DIV/0!</v>
      </c>
      <c r="BX94" s="257">
        <f t="shared" si="100"/>
        <v>0</v>
      </c>
      <c r="BY94" s="258">
        <f t="shared" si="100"/>
        <v>0</v>
      </c>
      <c r="BZ94" s="258">
        <f t="shared" si="100"/>
        <v>0</v>
      </c>
      <c r="CA94" s="258">
        <f t="shared" si="100"/>
        <v>0</v>
      </c>
      <c r="CB94" s="258">
        <f t="shared" si="100"/>
        <v>0</v>
      </c>
      <c r="CC94" s="258">
        <f t="shared" si="100"/>
        <v>0</v>
      </c>
      <c r="CD94" s="258">
        <f t="shared" si="100"/>
        <v>0</v>
      </c>
      <c r="CE94" s="258">
        <f t="shared" si="100"/>
        <v>0</v>
      </c>
      <c r="CF94" s="258">
        <f t="shared" si="100"/>
        <v>0</v>
      </c>
      <c r="CG94" s="258">
        <f t="shared" si="100"/>
        <v>0</v>
      </c>
      <c r="CH94" s="258">
        <f t="shared" si="100"/>
        <v>0</v>
      </c>
      <c r="CI94" s="259">
        <f t="shared" si="100"/>
        <v>0</v>
      </c>
      <c r="CJ94" s="257">
        <f t="shared" si="101"/>
        <v>0</v>
      </c>
      <c r="CK94" s="258">
        <f t="shared" si="101"/>
        <v>0</v>
      </c>
      <c r="CL94" s="258">
        <f t="shared" si="101"/>
        <v>0</v>
      </c>
      <c r="CM94" s="258">
        <f t="shared" si="101"/>
        <v>0</v>
      </c>
      <c r="CN94" s="258">
        <f t="shared" si="101"/>
        <v>0</v>
      </c>
      <c r="CO94" s="258">
        <f t="shared" si="101"/>
        <v>0</v>
      </c>
      <c r="CP94" s="258">
        <f t="shared" si="101"/>
        <v>0</v>
      </c>
      <c r="CQ94" s="258">
        <f t="shared" si="101"/>
        <v>0</v>
      </c>
      <c r="CR94" s="258">
        <f t="shared" si="101"/>
        <v>0</v>
      </c>
      <c r="CS94" s="258">
        <f t="shared" si="101"/>
        <v>0</v>
      </c>
      <c r="CT94" s="258">
        <f t="shared" si="101"/>
        <v>0</v>
      </c>
      <c r="CU94" s="259">
        <f t="shared" si="101"/>
        <v>0</v>
      </c>
      <c r="CV94" s="260">
        <f t="shared" si="75"/>
        <v>0</v>
      </c>
      <c r="CW94" s="260">
        <f t="shared" si="76"/>
        <v>0</v>
      </c>
    </row>
    <row r="95" spans="1:101" s="263" customFormat="1" ht="15" thickBot="1" x14ac:dyDescent="0.4">
      <c r="B95" s="264"/>
      <c r="C95" s="265"/>
      <c r="D95" s="266"/>
      <c r="E95" s="267"/>
      <c r="F95" s="268"/>
      <c r="G95" s="269"/>
      <c r="H95" s="270"/>
      <c r="I95" s="269"/>
      <c r="J95" s="268"/>
      <c r="K95" s="271"/>
      <c r="L95" s="271"/>
      <c r="M95" s="271"/>
      <c r="N95" s="271"/>
      <c r="O95" s="272"/>
      <c r="P95" s="272"/>
      <c r="Q95" s="272"/>
      <c r="R95" s="272"/>
      <c r="S95" s="272"/>
      <c r="T95" s="272"/>
      <c r="U95" s="272"/>
      <c r="V95" s="272"/>
      <c r="W95" s="273"/>
      <c r="X95" s="272"/>
      <c r="Y95" s="272"/>
      <c r="Z95" s="272"/>
      <c r="AA95" s="272"/>
      <c r="AB95" s="274"/>
      <c r="AC95" s="274"/>
      <c r="AD95" s="274"/>
      <c r="AE95" s="274"/>
      <c r="AF95" s="275"/>
      <c r="AG95" s="276"/>
      <c r="AH95" s="277"/>
      <c r="AI95" s="278"/>
      <c r="AJ95" s="279"/>
      <c r="AK95" s="280"/>
      <c r="AL95" s="281"/>
      <c r="AM95" s="281"/>
      <c r="AN95" s="282"/>
      <c r="AZ95" s="283"/>
      <c r="BA95" s="284"/>
      <c r="BB95" s="284"/>
      <c r="BC95" s="284"/>
      <c r="BD95" s="284"/>
      <c r="BE95" s="284"/>
      <c r="BF95" s="284"/>
      <c r="BG95" s="284"/>
      <c r="BH95" s="284"/>
      <c r="BI95" s="284"/>
      <c r="BJ95" s="284"/>
      <c r="BK95" s="284"/>
      <c r="BL95" s="285"/>
      <c r="BM95" s="286"/>
      <c r="BN95" s="286"/>
      <c r="BO95" s="286"/>
      <c r="BP95" s="286"/>
      <c r="BQ95" s="286"/>
      <c r="BR95" s="286"/>
      <c r="BS95" s="286"/>
      <c r="BT95" s="286"/>
      <c r="BU95" s="286"/>
      <c r="BV95" s="286"/>
      <c r="BW95" s="286"/>
      <c r="BX95" s="287"/>
      <c r="BY95" s="288"/>
      <c r="BZ95" s="288"/>
      <c r="CA95" s="288"/>
      <c r="CB95" s="288"/>
      <c r="CC95" s="288"/>
      <c r="CD95" s="288"/>
      <c r="CE95" s="288"/>
      <c r="CF95" s="288"/>
      <c r="CG95" s="288"/>
      <c r="CH95" s="288"/>
      <c r="CI95" s="288"/>
      <c r="CJ95" s="287"/>
      <c r="CK95" s="288"/>
      <c r="CL95" s="288"/>
      <c r="CM95" s="288"/>
      <c r="CN95" s="288"/>
      <c r="CO95" s="288"/>
      <c r="CP95" s="288"/>
      <c r="CQ95" s="288"/>
      <c r="CR95" s="288"/>
      <c r="CS95" s="288"/>
      <c r="CT95" s="288"/>
      <c r="CU95" s="288"/>
    </row>
    <row r="96" spans="1:101" ht="15" thickBot="1" x14ac:dyDescent="0.4">
      <c r="B96" s="289" t="s">
        <v>219</v>
      </c>
      <c r="C96" s="290"/>
      <c r="D96" s="291"/>
      <c r="E96" s="292"/>
      <c r="F96" s="292"/>
      <c r="G96" s="293"/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  <c r="V96" s="292"/>
      <c r="W96" s="292"/>
      <c r="X96" s="292"/>
      <c r="Y96" s="292"/>
      <c r="Z96" s="292"/>
      <c r="AA96" s="292"/>
      <c r="AB96" s="292"/>
      <c r="AC96" s="292"/>
      <c r="AD96" s="292"/>
      <c r="AE96" s="292"/>
      <c r="AF96" s="294"/>
      <c r="AG96" s="295">
        <f>SUBTOTAL(9,AG4:AG84)</f>
        <v>791002.27830000012</v>
      </c>
      <c r="AH96" s="295">
        <f>SUBTOTAL(9,AH4:AH84)</f>
        <v>65409.803782500006</v>
      </c>
      <c r="AI96" s="296">
        <f>SUBTOTAL(9,AI4:AI84)</f>
        <v>215587.79489831999</v>
      </c>
      <c r="AK96" s="297">
        <f>SUBTOTAL(9,AK4:AK94)</f>
        <v>562282.64434106834</v>
      </c>
      <c r="AL96" s="298">
        <f>AK96/SUM(AZ96:BK96)</f>
        <v>0.70203526033105978</v>
      </c>
      <c r="AM96" s="298">
        <f>AK96/CV97</f>
        <v>0.890831197474801</v>
      </c>
      <c r="AN96" s="297">
        <f>SUBTOTAL(9,AN4:AN94)</f>
        <v>41044.801925926142</v>
      </c>
      <c r="AO96" s="297">
        <f t="shared" ref="AO96:AY96" si="111">SUBTOTAL(9,AO4:AO94)</f>
        <v>40431.292164894556</v>
      </c>
      <c r="AP96" s="297">
        <f t="shared" si="111"/>
        <v>43766.297672866429</v>
      </c>
      <c r="AQ96" s="297">
        <f t="shared" si="111"/>
        <v>50070.998855672209</v>
      </c>
      <c r="AR96" s="297">
        <f t="shared" si="111"/>
        <v>55178.811606154173</v>
      </c>
      <c r="AS96" s="297">
        <f t="shared" si="111"/>
        <v>55636.200318909854</v>
      </c>
      <c r="AT96" s="297">
        <f t="shared" si="111"/>
        <v>48721.468615003847</v>
      </c>
      <c r="AU96" s="297">
        <f t="shared" si="111"/>
        <v>43723.776803056062</v>
      </c>
      <c r="AV96" s="297">
        <f t="shared" si="111"/>
        <v>51624.356477152716</v>
      </c>
      <c r="AW96" s="297">
        <f t="shared" si="111"/>
        <v>44899.128620678712</v>
      </c>
      <c r="AX96" s="297">
        <f t="shared" si="111"/>
        <v>45048.807427020743</v>
      </c>
      <c r="AY96" s="297">
        <f t="shared" si="111"/>
        <v>42137.789330026659</v>
      </c>
      <c r="AZ96" s="297">
        <f>SUBTOTAL(9,AZ4:AZ94)</f>
        <v>77012.711375000014</v>
      </c>
      <c r="BA96" s="297">
        <f t="shared" ref="BA96:BK96" si="112">SUBTOTAL(9,BA4:BA94)</f>
        <v>61610.169099999992</v>
      </c>
      <c r="BB96" s="297">
        <f t="shared" si="112"/>
        <v>61610.169099999992</v>
      </c>
      <c r="BC96" s="297">
        <f t="shared" si="112"/>
        <v>77012.711375000014</v>
      </c>
      <c r="BD96" s="297">
        <f t="shared" si="112"/>
        <v>61610.169099999992</v>
      </c>
      <c r="BE96" s="297">
        <f t="shared" si="112"/>
        <v>61610.169099999992</v>
      </c>
      <c r="BF96" s="297">
        <f t="shared" si="112"/>
        <v>77012.711375000014</v>
      </c>
      <c r="BG96" s="297">
        <f t="shared" si="112"/>
        <v>61610.169099999992</v>
      </c>
      <c r="BH96" s="297">
        <f t="shared" si="112"/>
        <v>61610.169099999992</v>
      </c>
      <c r="BI96" s="297">
        <f t="shared" si="112"/>
        <v>77012.711375000014</v>
      </c>
      <c r="BJ96" s="297">
        <f t="shared" si="112"/>
        <v>61610.169099999992</v>
      </c>
      <c r="BK96" s="297">
        <f t="shared" si="112"/>
        <v>61610.169099999992</v>
      </c>
      <c r="BL96" s="299">
        <f t="shared" ref="BL96:BW96" si="113">AN96/AZ96</f>
        <v>0.53296139290649847</v>
      </c>
      <c r="BM96" s="300">
        <f t="shared" si="113"/>
        <v>0.65624381097331808</v>
      </c>
      <c r="BN96" s="300">
        <f t="shared" si="113"/>
        <v>0.71037457472043253</v>
      </c>
      <c r="BO96" s="300">
        <f t="shared" si="113"/>
        <v>0.65016538129478629</v>
      </c>
      <c r="BP96" s="300">
        <f t="shared" si="113"/>
        <v>0.89561207852867553</v>
      </c>
      <c r="BQ96" s="300">
        <f t="shared" si="113"/>
        <v>0.90303599440875193</v>
      </c>
      <c r="BR96" s="300">
        <f t="shared" si="113"/>
        <v>0.63264190735686632</v>
      </c>
      <c r="BS96" s="300">
        <f t="shared" si="113"/>
        <v>0.7096844147934025</v>
      </c>
      <c r="BT96" s="300">
        <f t="shared" si="113"/>
        <v>0.83791940894303962</v>
      </c>
      <c r="BU96" s="300">
        <f t="shared" si="113"/>
        <v>0.58300932169561215</v>
      </c>
      <c r="BV96" s="300">
        <f t="shared" si="113"/>
        <v>0.73119110181148239</v>
      </c>
      <c r="BW96" s="301">
        <f t="shared" si="113"/>
        <v>0.68394211451736897</v>
      </c>
      <c r="BX96" s="297">
        <f>SUBTOTAL(9,BX4:BX94)</f>
        <v>35967.909449073872</v>
      </c>
      <c r="BY96" s="297">
        <f t="shared" ref="BY96:CI96" si="114">SUBTOTAL(9,BY4:BY94)</f>
        <v>21178.876935105451</v>
      </c>
      <c r="BZ96" s="297">
        <f t="shared" si="114"/>
        <v>17843.871427133559</v>
      </c>
      <c r="CA96" s="297">
        <f t="shared" si="114"/>
        <v>26941.712519327786</v>
      </c>
      <c r="CB96" s="297">
        <f t="shared" si="114"/>
        <v>6431.357493845836</v>
      </c>
      <c r="CC96" s="297">
        <f t="shared" si="114"/>
        <v>5973.9687810901532</v>
      </c>
      <c r="CD96" s="297">
        <f t="shared" si="114"/>
        <v>28291.242759996167</v>
      </c>
      <c r="CE96" s="297">
        <f t="shared" si="114"/>
        <v>17886.392296943937</v>
      </c>
      <c r="CF96" s="297">
        <f t="shared" si="114"/>
        <v>9985.8126228472738</v>
      </c>
      <c r="CG96" s="297">
        <f t="shared" si="114"/>
        <v>32113.582754321284</v>
      </c>
      <c r="CH96" s="297">
        <f t="shared" si="114"/>
        <v>16561.361672979248</v>
      </c>
      <c r="CI96" s="297">
        <f t="shared" si="114"/>
        <v>19472.379769973337</v>
      </c>
      <c r="CJ96" s="297">
        <f>SUBTOTAL(9,CJ4:CJ94)</f>
        <v>28460.878725490744</v>
      </c>
      <c r="CK96" s="297">
        <f t="shared" ref="CK96:CU96" si="115">SUBTOTAL(9,CK4:CK94)</f>
        <v>16876.829226094385</v>
      </c>
      <c r="CL96" s="297">
        <f t="shared" si="115"/>
        <v>14290.562391998319</v>
      </c>
      <c r="CM96" s="297">
        <f t="shared" si="115"/>
        <v>21533.579822848544</v>
      </c>
      <c r="CN96" s="297">
        <f t="shared" si="115"/>
        <v>5547.3530055865249</v>
      </c>
      <c r="CO96" s="297">
        <f t="shared" si="115"/>
        <v>5244.8066802089597</v>
      </c>
      <c r="CP96" s="297">
        <f t="shared" si="115"/>
        <v>22571.907961942899</v>
      </c>
      <c r="CQ96" s="297">
        <f t="shared" si="115"/>
        <v>14276.234374522104</v>
      </c>
      <c r="CR96" s="297">
        <f t="shared" si="115"/>
        <v>8002.2278041463414</v>
      </c>
      <c r="CS96" s="297">
        <f t="shared" si="115"/>
        <v>25413.474511280547</v>
      </c>
      <c r="CT96" s="297">
        <f t="shared" si="115"/>
        <v>13147.352673639756</v>
      </c>
      <c r="CU96" s="302">
        <f t="shared" si="115"/>
        <v>15445.987471644072</v>
      </c>
    </row>
    <row r="97" spans="2:101" ht="15" thickBot="1" x14ac:dyDescent="0.4">
      <c r="AG97" s="303"/>
      <c r="AH97" s="303"/>
      <c r="AN97" s="304">
        <f>SUM(AN96:AY96)</f>
        <v>562283.72981736215</v>
      </c>
      <c r="AO97" s="305"/>
      <c r="AP97" s="305"/>
      <c r="AQ97" s="305"/>
      <c r="AR97" s="305"/>
      <c r="AS97" s="305"/>
      <c r="AT97" s="305"/>
      <c r="AU97" s="305"/>
      <c r="AV97" s="305"/>
      <c r="AW97" s="305"/>
      <c r="AX97" s="305"/>
      <c r="AY97" s="306"/>
      <c r="AZ97" s="304">
        <f>SUM(AZ96:BK96)</f>
        <v>800932.19829999981</v>
      </c>
      <c r="BA97" s="305"/>
      <c r="BB97" s="305"/>
      <c r="BC97" s="305"/>
      <c r="BD97" s="305"/>
      <c r="BE97" s="305"/>
      <c r="BF97" s="305"/>
      <c r="BG97" s="305"/>
      <c r="BH97" s="305"/>
      <c r="BI97" s="305"/>
      <c r="BJ97" s="305"/>
      <c r="BK97" s="306"/>
      <c r="BL97" s="307">
        <f>AL96</f>
        <v>0.70203526033105978</v>
      </c>
      <c r="BM97" s="308"/>
      <c r="BN97" s="308"/>
      <c r="BO97" s="308"/>
      <c r="BP97" s="308"/>
      <c r="BQ97" s="308"/>
      <c r="BR97" s="308"/>
      <c r="BS97" s="308"/>
      <c r="BT97" s="308"/>
      <c r="BU97" s="308"/>
      <c r="BV97" s="308"/>
      <c r="BW97" s="309"/>
      <c r="BX97" s="304">
        <f>SUM(BX96:CI96)</f>
        <v>238648.46848263789</v>
      </c>
      <c r="BY97" s="305"/>
      <c r="BZ97" s="305"/>
      <c r="CA97" s="305"/>
      <c r="CB97" s="305"/>
      <c r="CC97" s="305"/>
      <c r="CD97" s="305"/>
      <c r="CE97" s="305"/>
      <c r="CF97" s="305"/>
      <c r="CG97" s="305"/>
      <c r="CH97" s="305"/>
      <c r="CI97" s="306"/>
      <c r="CJ97" s="304">
        <f>SUM(CJ96:CU96)</f>
        <v>190811.19464940316</v>
      </c>
      <c r="CK97" s="305"/>
      <c r="CL97" s="305"/>
      <c r="CM97" s="305"/>
      <c r="CN97" s="305"/>
      <c r="CO97" s="305"/>
      <c r="CP97" s="305"/>
      <c r="CQ97" s="305"/>
      <c r="CR97" s="305"/>
      <c r="CS97" s="305"/>
      <c r="CT97" s="305"/>
      <c r="CU97" s="306"/>
      <c r="CV97" s="302">
        <f>SUBTOTAL(9,CV4:CV94)</f>
        <v>631188.76610399992</v>
      </c>
      <c r="CW97" s="302">
        <f>SUBTOTAL(9,CW4:CW94)</f>
        <v>181350.58623864004</v>
      </c>
    </row>
    <row r="98" spans="2:101" x14ac:dyDescent="0.35">
      <c r="B98" s="310" t="s">
        <v>51</v>
      </c>
      <c r="C98" s="311" t="s">
        <v>22</v>
      </c>
      <c r="D98" s="312"/>
      <c r="E98" s="313"/>
      <c r="F98" s="313"/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  <c r="T98" s="313"/>
      <c r="U98" s="313"/>
      <c r="V98" s="313"/>
      <c r="W98" s="313"/>
      <c r="X98" s="313"/>
      <c r="Y98" s="313"/>
      <c r="Z98" s="313"/>
      <c r="AA98" s="313"/>
      <c r="AB98" s="313"/>
      <c r="AC98" s="313"/>
      <c r="AD98" s="313"/>
      <c r="AE98" s="313"/>
      <c r="AF98" s="314"/>
      <c r="AG98" s="82">
        <f>AG4+AG5+AG6+AG7+AG9+AG8+AG10+AG12</f>
        <v>206507.80799999996</v>
      </c>
      <c r="AH98" s="82">
        <f>AH4+AH5+AH6+AH7+AH9+AH8+AH10+AH12</f>
        <v>17076.607199999999</v>
      </c>
      <c r="AI98" s="84">
        <f>AI4+AI5+AI6+AI7+AI9+AI8+AI10+AI12</f>
        <v>53692.030079999997</v>
      </c>
    </row>
    <row r="99" spans="2:101" x14ac:dyDescent="0.35">
      <c r="B99" s="129" t="s">
        <v>77</v>
      </c>
      <c r="C99" s="130" t="s">
        <v>22</v>
      </c>
      <c r="D99" s="315"/>
      <c r="E99" s="316"/>
      <c r="F99" s="316"/>
      <c r="G99" s="316"/>
      <c r="H99" s="316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A99" s="316"/>
      <c r="AB99" s="316"/>
      <c r="AC99" s="316"/>
      <c r="AD99" s="316"/>
      <c r="AE99" s="316"/>
      <c r="AF99" s="317"/>
      <c r="AG99" s="194">
        <f>AG13+AG16+AG19+AG23</f>
        <v>62334.277979999999</v>
      </c>
      <c r="AH99" s="194">
        <f>AH13+AH16+AH19+AH23</f>
        <v>5154.5652945000002</v>
      </c>
      <c r="AI99" s="196">
        <f>AI13+AI16+AI19+AI23</f>
        <v>16689.600018000001</v>
      </c>
    </row>
    <row r="100" spans="2:101" x14ac:dyDescent="0.35">
      <c r="B100" s="129" t="s">
        <v>104</v>
      </c>
      <c r="C100" s="130" t="s">
        <v>22</v>
      </c>
      <c r="D100" s="315"/>
      <c r="E100" s="316"/>
      <c r="F100" s="316"/>
      <c r="G100" s="316"/>
      <c r="H100" s="316"/>
      <c r="I100" s="316"/>
      <c r="J100" s="316"/>
      <c r="K100" s="316"/>
      <c r="L100" s="316"/>
      <c r="M100" s="316"/>
      <c r="N100" s="316"/>
      <c r="O100" s="316"/>
      <c r="P100" s="316"/>
      <c r="Q100" s="316"/>
      <c r="R100" s="316"/>
      <c r="S100" s="316"/>
      <c r="T100" s="316"/>
      <c r="U100" s="316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6"/>
      <c r="AF100" s="317"/>
      <c r="AG100" s="194">
        <f>AG24+AG25+AG26+AG27+AG28</f>
        <v>215225.82431999999</v>
      </c>
      <c r="AH100" s="194">
        <f>AH24+AH25+AH26+AH27+AH28</f>
        <v>17797.520088000001</v>
      </c>
      <c r="AI100" s="196">
        <f>AI24+AI25+AI26+AI27+AI28</f>
        <v>53227.564777920001</v>
      </c>
    </row>
    <row r="101" spans="2:101" x14ac:dyDescent="0.35">
      <c r="B101" s="129" t="s">
        <v>116</v>
      </c>
      <c r="C101" s="130" t="s">
        <v>22</v>
      </c>
      <c r="D101" s="315"/>
      <c r="E101" s="316"/>
      <c r="F101" s="316"/>
      <c r="G101" s="316"/>
      <c r="H101" s="316"/>
      <c r="I101" s="316"/>
      <c r="J101" s="316"/>
      <c r="K101" s="316"/>
      <c r="L101" s="316"/>
      <c r="M101" s="316"/>
      <c r="N101" s="316"/>
      <c r="O101" s="316"/>
      <c r="P101" s="316"/>
      <c r="Q101" s="316"/>
      <c r="R101" s="316"/>
      <c r="S101" s="316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7"/>
      <c r="AG101" s="194">
        <f>AG31+AG34+AG36+AG35+AG40</f>
        <v>65747.135999999999</v>
      </c>
      <c r="AH101" s="194">
        <f>AH31+AH34+AH36+AH35+AH40</f>
        <v>5436.7824000000001</v>
      </c>
      <c r="AI101" s="196">
        <f>AI31+AI34+AI36+AI35+AI40</f>
        <v>18357.3147264</v>
      </c>
    </row>
    <row r="102" spans="2:101" x14ac:dyDescent="0.35">
      <c r="B102" s="318" t="s">
        <v>127</v>
      </c>
      <c r="C102" s="319" t="s">
        <v>22</v>
      </c>
      <c r="D102" s="315"/>
      <c r="E102" s="316"/>
      <c r="F102" s="316"/>
      <c r="G102" s="316"/>
      <c r="H102" s="316"/>
      <c r="I102" s="316"/>
      <c r="J102" s="316"/>
      <c r="K102" s="316"/>
      <c r="L102" s="316"/>
      <c r="M102" s="316"/>
      <c r="N102" s="316"/>
      <c r="O102" s="316"/>
      <c r="P102" s="316"/>
      <c r="Q102" s="316"/>
      <c r="R102" s="316"/>
      <c r="S102" s="316"/>
      <c r="T102" s="316"/>
      <c r="U102" s="316"/>
      <c r="V102" s="316"/>
      <c r="W102" s="316"/>
      <c r="X102" s="316"/>
      <c r="Y102" s="316"/>
      <c r="Z102" s="316"/>
      <c r="AA102" s="316"/>
      <c r="AB102" s="316"/>
      <c r="AC102" s="316"/>
      <c r="AD102" s="316"/>
      <c r="AE102" s="316"/>
      <c r="AF102" s="317"/>
      <c r="AG102" s="320">
        <f>AG41+AG45+AG48+AG56+AG65+AG66+AG67+AG68+AG69+AG73+AG77+AG81</f>
        <v>217712.35199999998</v>
      </c>
      <c r="AH102" s="320">
        <f>AH41+AH45+AH48+AH56+AH65+AH66+AH67+AH68+AH69+AH73+AH77+AH81</f>
        <v>18003.1368</v>
      </c>
      <c r="AI102" s="321">
        <f>AI41+AI45+AI48+AI56+AI65+AI66+AI67+AI68+AI69+AI73+AI77+AI81</f>
        <v>73621.285296000002</v>
      </c>
    </row>
    <row r="103" spans="2:101" ht="15" thickBot="1" x14ac:dyDescent="0.4">
      <c r="B103" s="322" t="s">
        <v>214</v>
      </c>
      <c r="C103" s="323" t="s">
        <v>22</v>
      </c>
      <c r="D103" s="324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93"/>
      <c r="AB103" s="293"/>
      <c r="AC103" s="293"/>
      <c r="AD103" s="293"/>
      <c r="AE103" s="293"/>
      <c r="AF103" s="325"/>
      <c r="AG103" s="326">
        <f>AG85+AG89+AG93+AG94</f>
        <v>33404.800000000003</v>
      </c>
      <c r="AH103" s="326">
        <f>AH85+AH89+AH93+AH94</f>
        <v>2762.3199999999997</v>
      </c>
      <c r="AI103" s="327">
        <f>AI85+AI89+AI93+AI94</f>
        <v>11851.84</v>
      </c>
    </row>
    <row r="104" spans="2:101" ht="15" thickBot="1" x14ac:dyDescent="0.4">
      <c r="B104" s="328" t="s">
        <v>220</v>
      </c>
      <c r="C104" s="329"/>
      <c r="D104" s="324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  <c r="AA104" s="293"/>
      <c r="AB104" s="293"/>
      <c r="AC104" s="293"/>
      <c r="AD104" s="293"/>
      <c r="AE104" s="293"/>
      <c r="AF104" s="325"/>
      <c r="AG104" s="330">
        <f>SUM(AG98:AG103)</f>
        <v>800932.19830000005</v>
      </c>
      <c r="AH104" s="330">
        <f>SUM(AH98:AH103)</f>
        <v>66230.931782500003</v>
      </c>
      <c r="AI104" s="331">
        <f>SUM(AI98:AI103)</f>
        <v>227439.63489831999</v>
      </c>
    </row>
    <row r="105" spans="2:101" ht="15" thickBot="1" x14ac:dyDescent="0.4"/>
    <row r="106" spans="2:101" x14ac:dyDescent="0.35">
      <c r="B106" s="310" t="s">
        <v>221</v>
      </c>
      <c r="C106" s="311" t="s">
        <v>85</v>
      </c>
      <c r="D106" s="312"/>
      <c r="E106" s="313"/>
      <c r="F106" s="313"/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  <c r="T106" s="313"/>
      <c r="U106" s="313"/>
      <c r="V106" s="313"/>
      <c r="W106" s="313"/>
      <c r="X106" s="313"/>
      <c r="Y106" s="313"/>
      <c r="Z106" s="313"/>
      <c r="AA106" s="313"/>
      <c r="AB106" s="313"/>
      <c r="AC106" s="313"/>
      <c r="AD106" s="313"/>
      <c r="AE106" s="313"/>
      <c r="AF106" s="314"/>
      <c r="AG106" s="82">
        <f>AG4+AG5+AG6+AG7+AG9+AG12+AG13+AG24+AG25+AG26+AG27+AG31+AG34+AG35+AG85</f>
        <v>427856.60112000001</v>
      </c>
      <c r="AH106" s="82">
        <f>AH4+AH5+AH6+AH7+AH9+AH12+AH13+AH24+AH25+AH26+AH27+AH31+AH34+AH35+AH85</f>
        <v>35380.449708</v>
      </c>
      <c r="AI106" s="84">
        <f>AI4+AI5+AI6+AI7+AI9+AI12+AI13+AI24+AI25+AI26+AI27+AI31+AI34+AI35+AI85</f>
        <v>104725.28363232</v>
      </c>
    </row>
    <row r="107" spans="2:101" x14ac:dyDescent="0.35">
      <c r="B107" s="332" t="s">
        <v>221</v>
      </c>
      <c r="C107" s="333" t="s">
        <v>222</v>
      </c>
      <c r="D107" s="315"/>
      <c r="E107" s="316"/>
      <c r="F107" s="316"/>
      <c r="G107" s="316"/>
      <c r="H107" s="316"/>
      <c r="I107" s="316"/>
      <c r="J107" s="316"/>
      <c r="K107" s="316"/>
      <c r="L107" s="316"/>
      <c r="M107" s="316"/>
      <c r="N107" s="316"/>
      <c r="O107" s="316"/>
      <c r="P107" s="316"/>
      <c r="Q107" s="316"/>
      <c r="R107" s="316"/>
      <c r="S107" s="316"/>
      <c r="T107" s="316"/>
      <c r="U107" s="316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6"/>
      <c r="AF107" s="317"/>
      <c r="AG107" s="120">
        <f>AG8+AG10</f>
        <v>50819.558399999994</v>
      </c>
      <c r="AH107" s="120">
        <f>AH8+AH10</f>
        <v>4202.3865599999999</v>
      </c>
      <c r="AI107" s="122">
        <f>AI8+AI10</f>
        <v>13213.085184</v>
      </c>
    </row>
    <row r="108" spans="2:101" x14ac:dyDescent="0.35">
      <c r="B108" s="332" t="s">
        <v>223</v>
      </c>
      <c r="C108" s="333" t="s">
        <v>85</v>
      </c>
      <c r="D108" s="315"/>
      <c r="E108" s="316"/>
      <c r="F108" s="316"/>
      <c r="G108" s="316"/>
      <c r="H108" s="316"/>
      <c r="I108" s="316"/>
      <c r="J108" s="316"/>
      <c r="K108" s="316"/>
      <c r="L108" s="316"/>
      <c r="M108" s="316"/>
      <c r="N108" s="316"/>
      <c r="O108" s="316"/>
      <c r="P108" s="316"/>
      <c r="Q108" s="316"/>
      <c r="R108" s="316"/>
      <c r="S108" s="316"/>
      <c r="T108" s="316"/>
      <c r="U108" s="316"/>
      <c r="V108" s="316"/>
      <c r="W108" s="316"/>
      <c r="X108" s="316"/>
      <c r="Y108" s="316"/>
      <c r="Z108" s="316"/>
      <c r="AA108" s="316"/>
      <c r="AB108" s="316"/>
      <c r="AC108" s="316"/>
      <c r="AD108" s="316"/>
      <c r="AE108" s="316"/>
      <c r="AF108" s="317"/>
      <c r="AG108" s="120">
        <f>AG19</f>
        <v>8635.8643799999991</v>
      </c>
      <c r="AH108" s="120">
        <f>AH19</f>
        <v>714.11955449999994</v>
      </c>
      <c r="AI108" s="122">
        <f>AI19</f>
        <v>2590.7593139999994</v>
      </c>
    </row>
    <row r="109" spans="2:101" x14ac:dyDescent="0.35">
      <c r="B109" s="129" t="s">
        <v>224</v>
      </c>
      <c r="C109" s="130" t="s">
        <v>85</v>
      </c>
      <c r="D109" s="315"/>
      <c r="E109" s="316"/>
      <c r="F109" s="316"/>
      <c r="G109" s="316"/>
      <c r="H109" s="316"/>
      <c r="I109" s="316"/>
      <c r="J109" s="316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6"/>
      <c r="AF109" s="317"/>
      <c r="AG109" s="194">
        <f>AG16+AG23+AG36+AG48+AG56+AG65+AG66+AG89</f>
        <v>132427.54720000003</v>
      </c>
      <c r="AH109" s="194">
        <f>AH16+AH23+AH36+AH48+AH56+AH65+AH66+AH89</f>
        <v>10950.73948</v>
      </c>
      <c r="AI109" s="196">
        <f>AI16+AI23+AI36+AI48+AI56+AI65+AI66+AI89</f>
        <v>42699.298719999999</v>
      </c>
    </row>
    <row r="110" spans="2:101" x14ac:dyDescent="0.35">
      <c r="B110" s="129" t="s">
        <v>225</v>
      </c>
      <c r="C110" s="333" t="s">
        <v>222</v>
      </c>
      <c r="D110" s="315"/>
      <c r="E110" s="316"/>
      <c r="F110" s="316"/>
      <c r="G110" s="316"/>
      <c r="H110" s="316"/>
      <c r="I110" s="316"/>
      <c r="J110" s="316"/>
      <c r="K110" s="316"/>
      <c r="L110" s="316"/>
      <c r="M110" s="316"/>
      <c r="N110" s="316"/>
      <c r="O110" s="316"/>
      <c r="P110" s="316"/>
      <c r="Q110" s="316"/>
      <c r="R110" s="316"/>
      <c r="S110" s="316"/>
      <c r="T110" s="316"/>
      <c r="U110" s="316"/>
      <c r="V110" s="316"/>
      <c r="W110" s="316"/>
      <c r="X110" s="316"/>
      <c r="Y110" s="316"/>
      <c r="Z110" s="316"/>
      <c r="AA110" s="316"/>
      <c r="AB110" s="316"/>
      <c r="AC110" s="316"/>
      <c r="AD110" s="316"/>
      <c r="AE110" s="316"/>
      <c r="AF110" s="317"/>
      <c r="AG110" s="194">
        <f>AG67+AG68</f>
        <v>20709</v>
      </c>
      <c r="AH110" s="194">
        <f>AH67+AH68</f>
        <v>1712.4749999999999</v>
      </c>
      <c r="AI110" s="196">
        <f>AI67+AI68</f>
        <v>7869.42</v>
      </c>
    </row>
    <row r="111" spans="2:101" x14ac:dyDescent="0.35">
      <c r="B111" s="129" t="s">
        <v>226</v>
      </c>
      <c r="C111" s="333" t="s">
        <v>115</v>
      </c>
      <c r="D111" s="315"/>
      <c r="E111" s="316"/>
      <c r="F111" s="316"/>
      <c r="G111" s="316"/>
      <c r="H111" s="316"/>
      <c r="I111" s="316"/>
      <c r="J111" s="316"/>
      <c r="K111" s="316"/>
      <c r="L111" s="316"/>
      <c r="M111" s="316"/>
      <c r="N111" s="316"/>
      <c r="O111" s="316"/>
      <c r="P111" s="316"/>
      <c r="Q111" s="316"/>
      <c r="R111" s="316"/>
      <c r="S111" s="316"/>
      <c r="T111" s="316"/>
      <c r="U111" s="316"/>
      <c r="V111" s="316"/>
      <c r="W111" s="316"/>
      <c r="X111" s="316"/>
      <c r="Y111" s="316"/>
      <c r="Z111" s="316"/>
      <c r="AA111" s="316"/>
      <c r="AB111" s="316"/>
      <c r="AC111" s="316"/>
      <c r="AD111" s="316"/>
      <c r="AE111" s="316"/>
      <c r="AF111" s="317"/>
      <c r="AG111" s="194">
        <f>AG28</f>
        <v>22488.959999999999</v>
      </c>
      <c r="AH111" s="194">
        <f>AH28</f>
        <v>1859.664</v>
      </c>
      <c r="AI111" s="196">
        <f>AI28</f>
        <v>8770.6944000000003</v>
      </c>
    </row>
    <row r="112" spans="2:101" x14ac:dyDescent="0.35">
      <c r="B112" s="129" t="s">
        <v>227</v>
      </c>
      <c r="C112" s="130" t="s">
        <v>85</v>
      </c>
      <c r="D112" s="315"/>
      <c r="E112" s="316"/>
      <c r="F112" s="316"/>
      <c r="G112" s="316"/>
      <c r="H112" s="316"/>
      <c r="I112" s="316"/>
      <c r="J112" s="316"/>
      <c r="K112" s="316"/>
      <c r="L112" s="316"/>
      <c r="M112" s="316"/>
      <c r="N112" s="316"/>
      <c r="O112" s="316"/>
      <c r="P112" s="316"/>
      <c r="Q112" s="316"/>
      <c r="R112" s="316"/>
      <c r="S112" s="316"/>
      <c r="T112" s="316"/>
      <c r="U112" s="316"/>
      <c r="V112" s="316"/>
      <c r="W112" s="316"/>
      <c r="X112" s="316"/>
      <c r="Y112" s="316"/>
      <c r="Z112" s="316"/>
      <c r="AA112" s="316"/>
      <c r="AB112" s="316"/>
      <c r="AC112" s="316"/>
      <c r="AD112" s="316"/>
      <c r="AE112" s="316"/>
      <c r="AF112" s="317"/>
      <c r="AG112" s="194">
        <f>AG45</f>
        <v>18378.547200000001</v>
      </c>
      <c r="AH112" s="194">
        <f>AH45</f>
        <v>1519.76448</v>
      </c>
      <c r="AI112" s="196">
        <f>AI45</f>
        <v>9924.4154880000006</v>
      </c>
    </row>
    <row r="113" spans="2:35" x14ac:dyDescent="0.35">
      <c r="B113" s="129" t="s">
        <v>130</v>
      </c>
      <c r="C113" s="130" t="s">
        <v>85</v>
      </c>
      <c r="D113" s="315"/>
      <c r="E113" s="316"/>
      <c r="F113" s="316"/>
      <c r="G113" s="316"/>
      <c r="H113" s="316"/>
      <c r="I113" s="316"/>
      <c r="J113" s="316"/>
      <c r="K113" s="316"/>
      <c r="L113" s="316"/>
      <c r="M113" s="316"/>
      <c r="N113" s="316"/>
      <c r="O113" s="316"/>
      <c r="P113" s="316"/>
      <c r="Q113" s="316"/>
      <c r="R113" s="316"/>
      <c r="S113" s="316"/>
      <c r="T113" s="316"/>
      <c r="U113" s="316"/>
      <c r="V113" s="316"/>
      <c r="W113" s="316"/>
      <c r="X113" s="316"/>
      <c r="Y113" s="316"/>
      <c r="Z113" s="316"/>
      <c r="AA113" s="316"/>
      <c r="AB113" s="316"/>
      <c r="AC113" s="316"/>
      <c r="AD113" s="316"/>
      <c r="AE113" s="316"/>
      <c r="AF113" s="317"/>
      <c r="AG113" s="194">
        <f>AG41</f>
        <v>19144.32</v>
      </c>
      <c r="AH113" s="194">
        <f>AH41</f>
        <v>1583.088</v>
      </c>
      <c r="AI113" s="196">
        <f>AI41</f>
        <v>5034.9561599999997</v>
      </c>
    </row>
    <row r="114" spans="2:35" x14ac:dyDescent="0.35">
      <c r="B114" s="318" t="s">
        <v>183</v>
      </c>
      <c r="C114" s="319" t="s">
        <v>228</v>
      </c>
      <c r="D114" s="315"/>
      <c r="E114" s="316"/>
      <c r="F114" s="316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6"/>
      <c r="W114" s="316"/>
      <c r="X114" s="316"/>
      <c r="Y114" s="316"/>
      <c r="Z114" s="316"/>
      <c r="AA114" s="316"/>
      <c r="AB114" s="316"/>
      <c r="AC114" s="316"/>
      <c r="AD114" s="316"/>
      <c r="AE114" s="316"/>
      <c r="AF114" s="317"/>
      <c r="AG114" s="320">
        <f>AG69</f>
        <v>36036</v>
      </c>
      <c r="AH114" s="320">
        <f>AH69</f>
        <v>2979.9</v>
      </c>
      <c r="AI114" s="321">
        <f>AI69</f>
        <v>10810.8</v>
      </c>
    </row>
    <row r="115" spans="2:35" x14ac:dyDescent="0.35">
      <c r="B115" s="318" t="s">
        <v>229</v>
      </c>
      <c r="C115" s="319" t="s">
        <v>228</v>
      </c>
      <c r="D115" s="315"/>
      <c r="E115" s="316"/>
      <c r="F115" s="316"/>
      <c r="G115" s="316"/>
      <c r="H115" s="316"/>
      <c r="I115" s="316"/>
      <c r="J115" s="316"/>
      <c r="K115" s="316"/>
      <c r="L115" s="316"/>
      <c r="M115" s="316"/>
      <c r="N115" s="316"/>
      <c r="O115" s="316"/>
      <c r="P115" s="316"/>
      <c r="Q115" s="316"/>
      <c r="R115" s="316"/>
      <c r="S115" s="3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6"/>
      <c r="AF115" s="317"/>
      <c r="AG115" s="320">
        <f t="shared" ref="AG115:AI116" si="116">AG73+AG77+AG81</f>
        <v>64435.8</v>
      </c>
      <c r="AH115" s="320">
        <f t="shared" si="116"/>
        <v>5328.3449999999993</v>
      </c>
      <c r="AI115" s="321">
        <f t="shared" si="116"/>
        <v>21800.921999999999</v>
      </c>
    </row>
    <row r="116" spans="2:35" ht="15" thickBot="1" x14ac:dyDescent="0.4">
      <c r="B116" s="322" t="s">
        <v>230</v>
      </c>
      <c r="C116" s="323" t="s">
        <v>222</v>
      </c>
      <c r="D116" s="324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293"/>
      <c r="P116" s="293"/>
      <c r="Q116" s="293"/>
      <c r="R116" s="293"/>
      <c r="S116" s="293"/>
      <c r="T116" s="293"/>
      <c r="U116" s="293"/>
      <c r="V116" s="293"/>
      <c r="W116" s="293"/>
      <c r="X116" s="293"/>
      <c r="Y116" s="293"/>
      <c r="Z116" s="293"/>
      <c r="AA116" s="293"/>
      <c r="AB116" s="293"/>
      <c r="AC116" s="293"/>
      <c r="AD116" s="293"/>
      <c r="AE116" s="293"/>
      <c r="AF116" s="325"/>
      <c r="AG116" s="326">
        <f t="shared" si="116"/>
        <v>0</v>
      </c>
      <c r="AH116" s="326">
        <f t="shared" si="116"/>
        <v>0</v>
      </c>
      <c r="AI116" s="327">
        <f t="shared" si="116"/>
        <v>0</v>
      </c>
    </row>
  </sheetData>
  <mergeCells count="20">
    <mergeCell ref="B104:C104"/>
    <mergeCell ref="CJ2:CU2"/>
    <mergeCell ref="B96:C96"/>
    <mergeCell ref="AN97:AY97"/>
    <mergeCell ref="AZ97:BK97"/>
    <mergeCell ref="BL97:BW97"/>
    <mergeCell ref="BX97:CI97"/>
    <mergeCell ref="CJ97:CU97"/>
    <mergeCell ref="B2:E2"/>
    <mergeCell ref="F2:J2"/>
    <mergeCell ref="K2:N2"/>
    <mergeCell ref="O2:R2"/>
    <mergeCell ref="S2:V2"/>
    <mergeCell ref="X2:AA2"/>
    <mergeCell ref="AB2:AE2"/>
    <mergeCell ref="AJ2:AJ3"/>
    <mergeCell ref="AN2:AY2"/>
    <mergeCell ref="AZ2:BK2"/>
    <mergeCell ref="BL2:BW2"/>
    <mergeCell ref="BX2:CI2"/>
  </mergeCells>
  <conditionalFormatting sqref="AF4:AF95">
    <cfRule type="cellIs" dxfId="3" priority="4" operator="equal">
      <formula>"3x8+2SD / 5x8"</formula>
    </cfRule>
    <cfRule type="cellIs" dxfId="2" priority="5" operator="equal">
      <formula>"3x8+SD"</formula>
    </cfRule>
    <cfRule type="cellIs" dxfId="1" priority="6" operator="equal">
      <formula>"2x8"</formula>
    </cfRule>
    <cfRule type="cellIs" dxfId="0" priority="7" operator="equal">
      <formula>"3x8"</formula>
    </cfRule>
  </conditionalFormatting>
  <conditionalFormatting sqref="AL4:AL9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:AM9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4:BW9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96:BW9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error="Catégorie inexistante" sqref="I4:I95" xr:uid="{535F2334-1235-414A-9BB1-B0082EC33248}">
      <formula1>"Breakfast dough, Breakfast dough - Kit Pizza, Brötchen, Gluten Free, Kit Pizza, Mini Pizza, PAT, Plaques, PZR, SNAP"</formula1>
    </dataValidation>
    <dataValidation type="list" allowBlank="1" showInputMessage="1" showErrorMessage="1" error="Sous-catégorie inexistante" sqref="J4:J95" xr:uid="{2D1FD789-2EE5-411C-A50B-AD89A8FB620E}">
      <formula1>"PAT, PBR, PAT étui, PZR, PZR D29,PZR Etui,Ultimate, SNAP, Choco/Cannelle/Garlic ,Croissant 240, Croissant 340 , Sonntag,Merkörn/Dinkel , Buttermilch , Kit PZR FP, Kit PZR Boîte, Empilés, GF,GF PZR,GF PAT"</formula1>
    </dataValidation>
    <dataValidation type="list" allowBlank="1" showInputMessage="1" showErrorMessage="1" sqref="AF4:AF95" xr:uid="{76172C8C-397F-479B-8506-B7367A273F0F}">
      <formula1>"2x8,3x8,3x8+SD,3x8+2SD / 5x8"</formula1>
    </dataValidation>
  </dataValidations>
  <pageMargins left="0.7" right="0.7" top="0.75" bottom="0.75" header="0.3" footer="0.3"/>
  <customProperties>
    <customPr name="IbpWorksheetKeyString_GUID" r:id="rId1"/>
  </customProperties>
  <drawing r:id="rId2"/>
  <legacyDrawing r:id="rId3"/>
</worksheet>
</file>

<file path=docMetadata/LabelInfo.xml><?xml version="1.0" encoding="utf-8"?>
<clbl:labelList xmlns:clbl="http://schemas.microsoft.com/office/2020/mipLabelMetadata">
  <clbl:label id="{7200cefc-95eb-47b4-b142-a2e6c24d18c5}" enabled="1" method="Standard" siteId="{9e279266-9b5e-4fc6-a855-6eeb128d9ce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DEME, Cheikh Bamba</dc:creator>
  <cp:lastModifiedBy>DEME, Cheikh Bamba</cp:lastModifiedBy>
  <dcterms:created xsi:type="dcterms:W3CDTF">2026-01-09T13:41:37Z</dcterms:created>
  <dcterms:modified xsi:type="dcterms:W3CDTF">2026-01-09T13:45:26Z</dcterms:modified>
</cp:coreProperties>
</file>